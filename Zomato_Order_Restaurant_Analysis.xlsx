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2.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worksheets/sheet3.xml" ContentType="application/vnd.openxmlformats-officedocument.spreadsheetml.worksheet+xml"/>
  <Override PartName="/xl/tables/table5.xml" ContentType="application/vnd.openxmlformats-officedocument.spreadsheetml.table+xml"/>
  <Override PartName="/xl/tables/table6.xml" ContentType="application/vnd.openxmlformats-officedocument.spreadsheetml.table+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tables/table7.xml" ContentType="application/vnd.openxmlformats-officedocument.spreadsheetml.table+xml"/>
  <Override PartName="/xl/tables/table8.xml" ContentType="application/vnd.openxmlformats-officedocument.spreadsheetml.table+xml"/>
  <Override PartName="/xl/worksheets/sheet6.xml" ContentType="application/vnd.openxmlformats-officedocument.spreadsheetml.worksheet+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worksheets/sheet7.xml" ContentType="application/vnd.openxmlformats-officedocument.spreadsheetml.worksheet+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worksheets/sheet8.xml" ContentType="application/vnd.openxmlformats-officedocument.spreadsheetml.worksheet+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worksheets/sheet9.xml" ContentType="application/vnd.openxmlformats-officedocument.spreadsheetml.worksheet+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worksheets/sheet10.xml" ContentType="application/vnd.openxmlformats-officedocument.spreadsheetml.worksheet+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worksheets/sheet11.xml" ContentType="application/vnd.openxmlformats-officedocument.spreadsheetml.worksheet+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worksheets/sheet1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 Read Me" sheetId="1" state="visible" r:id="rId1"/>
    <sheet xmlns:r="http://schemas.openxmlformats.org/officeDocument/2006/relationships" name="01 Data Quality" sheetId="2" state="visible" r:id="rId2"/>
    <sheet xmlns:r="http://schemas.openxmlformats.org/officeDocument/2006/relationships" name="02 Data Model" sheetId="3" state="visible" r:id="rId3"/>
    <sheet xmlns:r="http://schemas.openxmlformats.org/officeDocument/2006/relationships" name="03 Dashboard" sheetId="4" state="visible" r:id="rId4"/>
    <sheet xmlns:r="http://schemas.openxmlformats.org/officeDocument/2006/relationships" name="04 Significance" sheetId="5" state="visible" r:id="rId5"/>
    <sheet xmlns:r="http://schemas.openxmlformats.org/officeDocument/2006/relationships" name="05 Cities" sheetId="6" state="visible" r:id="rId6"/>
    <sheet xmlns:r="http://schemas.openxmlformats.org/officeDocument/2006/relationships" name="06 Time Trends" sheetId="7" state="visible" r:id="rId7"/>
    <sheet xmlns:r="http://schemas.openxmlformats.org/officeDocument/2006/relationships" name="07 Ratings" sheetId="8" state="visible" r:id="rId8"/>
    <sheet xmlns:r="http://schemas.openxmlformats.org/officeDocument/2006/relationships" name="08 Restaurants" sheetId="9" state="visible" r:id="rId9"/>
    <sheet xmlns:r="http://schemas.openxmlformats.org/officeDocument/2006/relationships" name="09 Areas&amp;Cuisine" sheetId="10" state="visible" r:id="rId10"/>
    <sheet xmlns:r="http://schemas.openxmlformats.org/officeDocument/2006/relationships" name="10 SQL Tasks" sheetId="11" state="visible" r:id="rId11"/>
    <sheet xmlns:r="http://schemas.openxmlformats.org/officeDocument/2006/relationships" name="11 SQL Library" sheetId="12" state="visible" r:id="rId12"/>
  </sheets>
  <definedNames/>
  <calcPr calcId="124519" fullCalcOnLoad="1"/>
</workbook>
</file>

<file path=xl/styles.xml><?xml version="1.0" encoding="utf-8"?>
<styleSheet xmlns="http://schemas.openxmlformats.org/spreadsheetml/2006/main">
  <numFmts count="4">
    <numFmt numFmtId="164" formatCode="0.00&quot;%&quot;"/>
    <numFmt numFmtId="165" formatCode="0.0"/>
    <numFmt numFmtId="166" formatCode="0.000"/>
    <numFmt numFmtId="167" formatCode="0.0000"/>
  </numFmts>
  <fonts count="16">
    <font>
      <name val="Calibri"/>
      <family val="2"/>
      <color theme="1"/>
      <sz val="11"/>
      <scheme val="minor"/>
    </font>
    <font>
      <b val="1"/>
      <color rgb="00FFFFFF"/>
      <sz val="15"/>
    </font>
    <font>
      <i val="1"/>
      <color rgb="00595959"/>
      <sz val="9"/>
    </font>
    <font>
      <b val="1"/>
      <color rgb="00FFFFFF"/>
      <sz val="11"/>
    </font>
    <font>
      <sz val="11"/>
    </font>
    <font>
      <b val="1"/>
      <color rgb="00FFFFFF"/>
      <sz val="10"/>
    </font>
    <font>
      <sz val="10"/>
    </font>
    <font>
      <b val="1"/>
      <color rgb="00FFFFFF"/>
      <sz val="9"/>
    </font>
    <font>
      <b val="1"/>
      <color rgb="001F3864"/>
      <sz val="14"/>
    </font>
    <font>
      <name val="Consolas"/>
      <sz val="10"/>
    </font>
    <font>
      <b val="1"/>
      <color rgb="00595959"/>
    </font>
    <font>
      <b val="1"/>
      <color rgb="00595959"/>
      <sz val="9"/>
    </font>
    <font>
      <b val="1"/>
      <sz val="9"/>
    </font>
    <font>
      <i val="1"/>
      <color rgb="00595959"/>
      <sz val="10"/>
    </font>
    <font>
      <name val="Consolas"/>
      <color rgb="002E75B6"/>
      <sz val="9"/>
    </font>
    <font>
      <name val="Consolas"/>
      <color rgb="00000000"/>
      <sz val="9"/>
    </font>
  </fonts>
  <fills count="8">
    <fill>
      <patternFill/>
    </fill>
    <fill>
      <patternFill patternType="gray125"/>
    </fill>
    <fill>
      <patternFill patternType="solid">
        <fgColor rgb="001F3864"/>
      </patternFill>
    </fill>
    <fill>
      <patternFill patternType="solid">
        <fgColor rgb="002E75B6"/>
      </patternFill>
    </fill>
    <fill>
      <patternFill patternType="solid">
        <fgColor rgb="00DDEBF7"/>
      </patternFill>
    </fill>
    <fill>
      <patternFill patternType="solid">
        <fgColor rgb="00548235"/>
      </patternFill>
    </fill>
    <fill>
      <patternFill patternType="solid">
        <fgColor rgb="00BF8F00"/>
      </patternFill>
    </fill>
    <fill>
      <patternFill patternType="solid">
        <fgColor rgb="00C000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8">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indent="1"/>
    </xf>
    <xf numFmtId="0" fontId="3" fillId="2" borderId="0" applyAlignment="1" pivotButton="0" quotePrefix="0" xfId="0">
      <alignment vertical="center" indent="1"/>
    </xf>
    <xf numFmtId="0" fontId="4" fillId="0" borderId="0" applyAlignment="1" pivotButton="0" quotePrefix="0" xfId="0">
      <alignment vertical="top" wrapText="1" indent="1"/>
    </xf>
    <xf numFmtId="0" fontId="5" fillId="3" borderId="1" applyAlignment="1" pivotButton="0" quotePrefix="0" xfId="0">
      <alignment horizontal="center" vertical="center" wrapText="1"/>
    </xf>
    <xf numFmtId="0" fontId="6" fillId="0" borderId="1" pivotButton="0" quotePrefix="0" xfId="0"/>
    <xf numFmtId="0" fontId="5" fillId="2" borderId="1" applyAlignment="1" pivotButton="0" quotePrefix="0" xfId="0">
      <alignment horizontal="center" vertical="center" wrapText="1"/>
    </xf>
    <xf numFmtId="0" fontId="2" fillId="0" borderId="0" applyAlignment="1" pivotButton="0" quotePrefix="0" xfId="0">
      <alignment vertical="top" wrapText="1" indent="1"/>
    </xf>
    <xf numFmtId="0" fontId="7" fillId="2" borderId="1" applyAlignment="1" pivotButton="0" quotePrefix="0" xfId="0">
      <alignment horizontal="center" vertical="center"/>
    </xf>
    <xf numFmtId="0" fontId="0" fillId="0" borderId="1" pivotButton="0" quotePrefix="0" xfId="0"/>
    <xf numFmtId="0" fontId="7" fillId="5" borderId="1" applyAlignment="1" pivotButton="0" quotePrefix="0" xfId="0">
      <alignment horizontal="center" vertical="center"/>
    </xf>
    <xf numFmtId="0" fontId="7" fillId="6" borderId="1" applyAlignment="1" pivotButton="0" quotePrefix="0" xfId="0">
      <alignment horizontal="center" vertical="center"/>
    </xf>
    <xf numFmtId="3" fontId="8" fillId="4" borderId="1" applyAlignment="1" pivotButton="0" quotePrefix="0" xfId="0">
      <alignment horizontal="center" vertical="center"/>
    </xf>
    <xf numFmtId="164" fontId="8" fillId="4" borderId="1" applyAlignment="1" pivotButton="0" quotePrefix="0" xfId="0">
      <alignment horizontal="center" vertical="center"/>
    </xf>
    <xf numFmtId="3" fontId="6" fillId="0" borderId="1" pivotButton="0" quotePrefix="0" xfId="0"/>
    <xf numFmtId="0" fontId="6" fillId="0" borderId="0" applyAlignment="1" pivotButton="0" quotePrefix="0" xfId="0">
      <alignment vertical="top" wrapText="1" indent="1"/>
    </xf>
    <xf numFmtId="0" fontId="9" fillId="0" borderId="0" pivotButton="0" quotePrefix="0" xfId="0"/>
    <xf numFmtId="0" fontId="7" fillId="3" borderId="1" applyAlignment="1" pivotButton="0" quotePrefix="0" xfId="0">
      <alignment horizontal="center" vertical="center"/>
    </xf>
    <xf numFmtId="165" fontId="8" fillId="4" borderId="1" applyAlignment="1" pivotButton="0" quotePrefix="0" xfId="0">
      <alignment horizontal="center" vertical="center"/>
    </xf>
    <xf numFmtId="0" fontId="7" fillId="7" borderId="1" applyAlignment="1" pivotButton="0" quotePrefix="0" xfId="0">
      <alignment horizontal="center" vertical="center"/>
    </xf>
    <xf numFmtId="2" fontId="8" fillId="4" borderId="1" applyAlignment="1" pivotButton="0" quotePrefix="0" xfId="0">
      <alignment horizontal="center" vertical="center"/>
    </xf>
    <xf numFmtId="0" fontId="4" fillId="0" borderId="0" applyAlignment="1" pivotButton="0" quotePrefix="0" xfId="0">
      <alignment vertical="center" wrapText="1" indent="1"/>
    </xf>
    <xf numFmtId="0" fontId="10" fillId="0" borderId="0" pivotButton="0" quotePrefix="0" xfId="0"/>
    <xf numFmtId="0" fontId="11" fillId="0" borderId="0" pivotButton="0" quotePrefix="0" xfId="0"/>
    <xf numFmtId="0" fontId="12" fillId="0" borderId="0" pivotButton="0" quotePrefix="0" xfId="0"/>
    <xf numFmtId="166" fontId="6" fillId="0" borderId="1" pivotButton="0" quotePrefix="0" xfId="0"/>
    <xf numFmtId="0" fontId="5" fillId="7" borderId="1" applyAlignment="1" pivotButton="0" quotePrefix="0" xfId="0">
      <alignment horizontal="center" vertical="center" wrapText="1"/>
    </xf>
    <xf numFmtId="164" fontId="6" fillId="0" borderId="1" pivotButton="0" quotePrefix="0" xfId="0"/>
    <xf numFmtId="165" fontId="6" fillId="0" borderId="1" pivotButton="0" quotePrefix="0" xfId="0"/>
    <xf numFmtId="2" fontId="6" fillId="0" borderId="1" pivotButton="0" quotePrefix="0" xfId="0"/>
    <xf numFmtId="49" fontId="8" fillId="4" borderId="1" applyAlignment="1" pivotButton="0" quotePrefix="0" xfId="0">
      <alignment horizontal="center" vertical="center"/>
    </xf>
    <xf numFmtId="167" fontId="6" fillId="0" borderId="1" pivotButton="0" quotePrefix="0" xfId="0"/>
    <xf numFmtId="1" fontId="6" fillId="0" borderId="1" pivotButton="0" quotePrefix="0" xfId="0"/>
    <xf numFmtId="0" fontId="5" fillId="5" borderId="1" applyAlignment="1" pivotButton="0" quotePrefix="0" xfId="0">
      <alignment horizontal="center" vertical="center" wrapText="1"/>
    </xf>
    <xf numFmtId="0" fontId="13" fillId="0" borderId="0" applyAlignment="1" pivotButton="0" quotePrefix="0" xfId="0">
      <alignment wrapText="1" indent="1"/>
    </xf>
    <xf numFmtId="0" fontId="14" fillId="0" borderId="0" pivotButton="0" quotePrefix="0" xfId="0"/>
    <xf numFmtId="0" fontId="15" fillId="0" borderId="0" pivotButton="0" quotePrefix="0" xfId="0"/>
  </cellXfs>
  <cellStyles count="1">
    <cellStyle name="Normal" xfId="0" builtinId="0" hidden="0"/>
  </cellStyles>
  <dxfs count="1">
    <dxf>
      <font>
        <color rgb="00C0000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Orders track restaurant count exactly (r = 0.989)</a:t>
            </a:r>
          </a:p>
        </rich>
      </tx>
    </title>
    <plotArea>
      <barChart>
        <barDir val="col"/>
        <grouping val="clustered"/>
        <ser>
          <idx val="0"/>
          <order val="0"/>
          <tx>
            <strRef>
              <f>'03 Dashboard'!B64</f>
            </strRef>
          </tx>
          <spPr>
            <a:ln xmlns:a="http://schemas.openxmlformats.org/drawingml/2006/main">
              <a:prstDash val="solid"/>
            </a:ln>
          </spPr>
          <cat>
            <numRef>
              <f>'03 Dashboard'!$A$65:$A$69</f>
            </numRef>
          </cat>
          <val>
            <numRef>
              <f>'03 Dashboard'!$B$65:$B$69</f>
            </numRef>
          </val>
        </ser>
        <ser>
          <idx val="1"/>
          <order val="1"/>
          <tx>
            <strRef>
              <f>'03 Dashboard'!C64</f>
            </strRef>
          </tx>
          <spPr>
            <a:ln xmlns:a="http://schemas.openxmlformats.org/drawingml/2006/main">
              <a:prstDash val="solid"/>
            </a:ln>
          </spPr>
          <cat>
            <numRef>
              <f>'03 Dashboard'!$A$65:$A$69</f>
            </numRef>
          </cat>
          <val>
            <numRef>
              <f>'03 Dashboard'!$C$65:$C$69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Demand/supply index - all cities sit at 1.00</a:t>
            </a:r>
          </a:p>
        </rich>
      </tx>
    </title>
    <plotArea>
      <barChart>
        <barDir val="col"/>
        <grouping val="clustered"/>
        <ser>
          <idx val="0"/>
          <order val="0"/>
          <tx>
            <strRef>
              <f>'03 Dashboard'!B72</f>
            </strRef>
          </tx>
          <spPr>
            <a:ln xmlns:a="http://schemas.openxmlformats.org/drawingml/2006/main">
              <a:prstDash val="solid"/>
            </a:ln>
          </spPr>
          <cat>
            <numRef>
              <f>'03 Dashboard'!$A$73:$A$77</f>
            </numRef>
          </cat>
          <val>
            <numRef>
              <f>'03 Dashboard'!$B$73:$B$77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3.xml><?xml version="1.0" encoding="utf-8"?>
<chartSpace xmlns="http://schemas.openxmlformats.org/drawingml/2006/chart">
  <style val="12"/>
  <chart>
    <title>
      <tx>
        <rich>
          <a:bodyPr xmlns:a="http://schemas.openxmlformats.org/drawingml/2006/main"/>
          <a:p xmlns:a="http://schemas.openxmlformats.org/drawingml/2006/main">
            <a:pPr>
              <a:defRPr/>
            </a:pPr>
            <a:r>
              <a:t>Monthly revenue and AOV - flat all year</a:t>
            </a:r>
          </a:p>
        </rich>
      </tx>
    </title>
    <plotArea>
      <lineChart>
        <grouping val="standard"/>
        <ser>
          <idx val="0"/>
          <order val="0"/>
          <tx>
            <strRef>
              <f>'03 Dashboard'!B80</f>
            </strRef>
          </tx>
          <spPr>
            <a:ln xmlns:a="http://schemas.openxmlformats.org/drawingml/2006/main">
              <a:prstDash val="solid"/>
            </a:ln>
          </spPr>
          <marker>
            <symbol val="none"/>
            <spPr>
              <a:ln xmlns:a="http://schemas.openxmlformats.org/drawingml/2006/main">
                <a:prstDash val="solid"/>
              </a:ln>
            </spPr>
          </marker>
          <cat>
            <numRef>
              <f>'03 Dashboard'!$A$81:$A$92</f>
            </numRef>
          </cat>
          <val>
            <numRef>
              <f>'03 Dashboard'!$B$81:$B$92</f>
            </numRef>
          </val>
        </ser>
        <ser>
          <idx val="1"/>
          <order val="1"/>
          <tx>
            <strRef>
              <f>'03 Dashboard'!C80</f>
            </strRef>
          </tx>
          <spPr>
            <a:ln xmlns:a="http://schemas.openxmlformats.org/drawingml/2006/main">
              <a:prstDash val="solid"/>
            </a:ln>
          </spPr>
          <marker>
            <symbol val="none"/>
            <spPr>
              <a:ln xmlns:a="http://schemas.openxmlformats.org/drawingml/2006/main">
                <a:prstDash val="solid"/>
              </a:ln>
            </spPr>
          </marker>
          <cat>
            <numRef>
              <f>'03 Dashboard'!$A$81:$A$92</f>
            </numRef>
          </cat>
          <val>
            <numRef>
              <f>'03 Dashboard'!$C$81:$C$92</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4.xml><?xml version="1.0" encoding="utf-8"?>
<chartSpace xmlns="http://schemas.openxmlformats.org/drawingml/2006/chart">
  <style val="10"/>
  <chart>
    <title>
      <tx>
        <rich>
          <a:bodyPr xmlns:a="http://schemas.openxmlformats.org/drawingml/2006/main"/>
          <a:p xmlns:a="http://schemas.openxmlformats.org/drawingml/2006/main">
            <a:pPr>
              <a:defRPr/>
            </a:pPr>
            <a:r>
              <a:t>Orders by hour of day (chi-square: not significant)</a:t>
            </a:r>
          </a:p>
        </rich>
      </tx>
    </title>
    <plotArea>
      <barChart>
        <barDir val="col"/>
        <grouping val="clustered"/>
        <ser>
          <idx val="0"/>
          <order val="0"/>
          <tx>
            <strRef>
              <f>'03 Dashboard'!B95</f>
            </strRef>
          </tx>
          <spPr>
            <a:ln xmlns:a="http://schemas.openxmlformats.org/drawingml/2006/main">
              <a:prstDash val="solid"/>
            </a:ln>
          </spPr>
          <cat>
            <numRef>
              <f>'03 Dashboard'!$A$96:$A$119</f>
            </numRef>
          </cat>
          <val>
            <numRef>
              <f>'03 Dashboard'!$B$96:$B$119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5.xml><?xml version="1.0" encoding="utf-8"?>
<chartSpace xmlns="http://schemas.openxmlformats.org/drawingml/2006/chart">
  <style val="10"/>
  <chart>
    <title>
      <tx>
        <rich>
          <a:bodyPr xmlns:a="http://schemas.openxmlformats.org/drawingml/2006/main"/>
          <a:p xmlns:a="http://schemas.openxmlformats.org/drawingml/2006/main">
            <a:pPr>
              <a:defRPr/>
            </a:pPr>
            <a:r>
              <a:t>Cuisine revenue vs orders per restaurant</a:t>
            </a:r>
          </a:p>
        </rich>
      </tx>
    </title>
    <plotArea>
      <barChart>
        <barDir val="col"/>
        <grouping val="clustered"/>
        <ser>
          <idx val="0"/>
          <order val="0"/>
          <tx>
            <strRef>
              <f>'03 Dashboard'!B122</f>
            </strRef>
          </tx>
          <spPr>
            <a:ln xmlns:a="http://schemas.openxmlformats.org/drawingml/2006/main">
              <a:prstDash val="solid"/>
            </a:ln>
          </spPr>
          <cat>
            <numRef>
              <f>'03 Dashboard'!$A$123:$A$127</f>
            </numRef>
          </cat>
          <val>
            <numRef>
              <f>'03 Dashboard'!$B$123:$B$127</f>
            </numRef>
          </val>
        </ser>
        <ser>
          <idx val="1"/>
          <order val="1"/>
          <tx>
            <strRef>
              <f>'03 Dashboard'!C122</f>
            </strRef>
          </tx>
          <spPr>
            <a:ln xmlns:a="http://schemas.openxmlformats.org/drawingml/2006/main">
              <a:prstDash val="solid"/>
            </a:ln>
          </spPr>
          <cat>
            <numRef>
              <f>'03 Dashboard'!$A$123:$A$127</f>
            </numRef>
          </cat>
          <val>
            <numRef>
              <f>'03 Dashboard'!$C$123:$C$127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6.xml><?xml version="1.0" encoding="utf-8"?>
<chartSpace xmlns="http://schemas.openxmlformats.org/drawingml/2006/chart">
  <style val="10"/>
  <chart>
    <title>
      <tx>
        <rich>
          <a:bodyPr xmlns:a="http://schemas.openxmlformats.org/drawingml/2006/main"/>
          <a:p xmlns:a="http://schemas.openxmlformats.org/drawingml/2006/main">
            <a:pPr>
              <a:defRPr/>
            </a:pPr>
            <a:r>
              <a:t>Correlation with restaurant rating - all near zero</a:t>
            </a:r>
          </a:p>
        </rich>
      </tx>
    </title>
    <plotArea>
      <barChart>
        <barDir val="bar"/>
        <grouping val="clustered"/>
        <ser>
          <idx val="0"/>
          <order val="0"/>
          <tx>
            <strRef>
              <f>'03 Dashboard'!B130</f>
            </strRef>
          </tx>
          <spPr>
            <a:ln xmlns:a="http://schemas.openxmlformats.org/drawingml/2006/main">
              <a:prstDash val="solid"/>
            </a:ln>
          </spPr>
          <cat>
            <numRef>
              <f>'03 Dashboard'!$A$131:$A$137</f>
            </numRef>
          </cat>
          <val>
            <numRef>
              <f>'03 Dashboard'!$B$131:$B$137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s>
</file>

<file path=xl/drawings/drawing1.xml><?xml version="1.0" encoding="utf-8"?>
<wsDr xmlns="http://schemas.openxmlformats.org/drawingml/2006/spreadsheetDrawing">
  <oneCellAnchor>
    <from>
      <col>0</col>
      <colOff>0</colOff>
      <row>13</row>
      <rowOff>0</rowOff>
    </from>
    <ext cx="5400000" cy="30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7</col>
      <colOff>0</colOff>
      <row>13</row>
      <rowOff>0</rowOff>
    </from>
    <ext cx="5400000" cy="306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14</col>
      <colOff>0</colOff>
      <row>13</row>
      <rowOff>0</rowOff>
    </from>
    <ext cx="5400000" cy="306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31</row>
      <rowOff>0</rowOff>
    </from>
    <ext cx="5400000" cy="306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7</col>
      <colOff>0</colOff>
      <row>31</row>
      <rowOff>0</rowOff>
    </from>
    <ext cx="5400000" cy="30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14</col>
      <colOff>0</colOff>
      <row>31</row>
      <rowOff>0</rowOff>
    </from>
    <ext cx="5400000" cy="306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wsDr>
</file>

<file path=xl/tables/table1.xml><?xml version="1.0" encoding="utf-8"?>
<table xmlns="http://schemas.openxmlformats.org/spreadsheetml/2006/main" id="1" name="tblNav" displayName="tblNav" ref="A12:C23" headerRowCount="1">
  <autoFilter ref="A12:C23"/>
  <tableColumns count="3">
    <tableColumn id="1" name="Sheet"/>
    <tableColumn id="2" name="What it contains"/>
    <tableColumn id="3" name="Covers"/>
  </tableColumns>
  <tableStyleInfo name="TableStyleMedium2" showRowStripes="1" showColumnStripes="0"/>
</table>
</file>

<file path=xl/tables/table2.xml><?xml version="1.0" encoding="utf-8"?>
<table xmlns="http://schemas.openxmlformats.org/spreadsheetml/2006/main" id="2" name="tblDefs" displayName="tblDefs" ref="A26:B32" headerRowCount="1">
  <autoFilter ref="A26:B32"/>
  <tableColumns count="2">
    <tableColumn id="1" name="Term"/>
    <tableColumn id="2" name="Definition used consistently across all tasks"/>
  </tableColumns>
  <tableStyleInfo name="TableStyleMedium2" showRowStripes="1" showColumnStripes="0"/>
</table>
</file>

<file path=xl/tables/table3.xml><?xml version="1.0" encoding="utf-8"?>
<table xmlns="http://schemas.openxmlformats.org/spreadsheetml/2006/main" id="3" name="tblExt" displayName="tblExt" ref="A8:F10" headerRowCount="1">
  <autoFilter ref="A8:F10"/>
  <tableColumns count="6">
    <tableColumn id="1" name="Source PDF"/>
    <tableColumn id="2" name="Pages"/>
    <tableColumn id="3" name="Rows recovered"/>
    <tableColumn id="4" name="Rows expected"/>
    <tableColumn id="5" name="Recovery"/>
    <tableColumn id="6" name="Method"/>
  </tableColumns>
  <tableStyleInfo name="TableStyleMedium2" showRowStripes="1" showColumnStripes="0"/>
</table>
</file>

<file path=xl/tables/table4.xml><?xml version="1.0" encoding="utf-8"?>
<table xmlns="http://schemas.openxmlformats.org/spreadsheetml/2006/main" id="4" name="tblDQ" displayName="tblDQ" ref="A13:E25" headerRowCount="1">
  <autoFilter ref="A13:E25"/>
  <tableColumns count="5">
    <tableColumn id="1" name="Table"/>
    <tableColumn id="2" name="Column"/>
    <tableColumn id="3" name="Issue found"/>
    <tableColumn id="4" name="Rows"/>
    <tableColumn id="5" name="Rule applied"/>
  </tableColumns>
  <tableStyleInfo name="TableStyleMedium2" showRowStripes="1" showColumnStripes="0"/>
</table>
</file>

<file path=xl/tables/table5.xml><?xml version="1.0" encoding="utf-8"?>
<table xmlns="http://schemas.openxmlformats.org/spreadsheetml/2006/main" id="5" name="tblModel" displayName="tblModel" ref="A5:F7" headerRowCount="1">
  <autoFilter ref="A5:F7"/>
  <tableColumns count="6">
    <tableColumn id="1" name="Table"/>
    <tableColumn id="2" name="Type"/>
    <tableColumn id="3" name="Rows"/>
    <tableColumn id="4" name="Keys"/>
    <tableColumn id="5" name="Foreign keys"/>
    <tableColumn id="6" name="Key measures / attributes"/>
  </tableColumns>
  <tableStyleInfo name="TableStyleMedium2" showRowStripes="1" showColumnStripes="0"/>
</table>
</file>

<file path=xl/tables/table6.xml><?xml version="1.0" encoding="utf-8"?>
<table xmlns="http://schemas.openxmlformats.org/spreadsheetml/2006/main" id="6" name="tblCons" displayName="tblCons" ref="A17:C24" headerRowCount="1">
  <autoFilter ref="A17:C24"/>
  <tableColumns count="3">
    <tableColumn id="1" name="Table"/>
    <tableColumn id="2" name="Constraint"/>
    <tableColumn id="3" name="What it guarantees"/>
  </tableColumns>
  <tableStyleInfo name="TableStyleMedium2" showRowStripes="1" showColumnStripes="0"/>
</table>
</file>

<file path=xl/tables/table7.xml><?xml version="1.0" encoding="utf-8"?>
<table xmlns="http://schemas.openxmlformats.org/spreadsheetml/2006/main" id="7" name="tblST" displayName="tblST" ref="A8:I27" headerRowCount="1">
  <autoFilter ref="A8:I27"/>
  <tableColumns count="9">
    <tableColumn id="1" name="Test"/>
    <tableColumn id="2" name="Dimension"/>
    <tableColumn id="3" name="df"/>
    <tableColumn id="4" name="Statistic"/>
    <tableColumn id="5" name="Critical (0.05)"/>
    <tableColumn id="6" name="Significant?"/>
    <tableColumn id="7" name="Stat vs supply"/>
    <tableColumn id="8" name="Sig vs supply?"/>
    <tableColumn id="9" name="Verdict"/>
  </tableColumns>
  <tableStyleInfo name="TableStyleMedium2" showRowStripes="1" showColumnStripes="0"/>
</table>
</file>

<file path=xl/tables/table8.xml><?xml version="1.0" encoding="utf-8"?>
<table xmlns="http://schemas.openxmlformats.org/spreadsheetml/2006/main" id="8" name="tblRG" displayName="tblRG" ref="A35:C39" headerRowCount="1">
  <autoFilter ref="A35:C39"/>
  <tableColumns count="3">
    <tableColumn id="1" name="Measure"/>
    <tableColumn id="2" name="Value"/>
    <tableColumn id="3" name="Note"/>
  </tableColumns>
  <tableStyleInfo name="TableStyleMedium2" showRowStripes="1" showColumnStripes="0"/>
</table>
</file>

<file path=xl/tables/table9.xml><?xml version="1.0" encoding="utf-8"?>
<table xmlns="http://schemas.openxmlformats.org/spreadsheetml/2006/main" id="9" name="tblP1" displayName="tblP1" ref="A5:G10" headerRowCount="1">
  <autoFilter ref="A5:G10"/>
  <tableColumns count="7">
    <tableColumn id="1" name="City"/>
    <tableColumn id="2" name="Restaurants"/>
    <tableColumn id="3" name="% of network"/>
    <tableColumn id="4" name="Expected if even"/>
    <tableColumn id="5" name="Deviation"/>
    <tableColumn id="6" name="Chi-sq contribution"/>
    <tableColumn id="7" name="Rank"/>
  </tableColumns>
  <tableStyleInfo name="TableStyleMedium2" showRowStripes="1" showColumnStripes="0"/>
</table>
</file>

<file path=xl/tables/table10.xml><?xml version="1.0" encoding="utf-8"?>
<table xmlns="http://schemas.openxmlformats.org/spreadsheetml/2006/main" id="10" name="tblP2" displayName="tblP2" ref="A16:I21" headerRowCount="1">
  <autoFilter ref="A16:I21"/>
  <tableColumns count="9">
    <tableColumn id="1" name="City"/>
    <tableColumn id="2" name="Orders"/>
    <tableColumn id="3" name="% of orders"/>
    <tableColumn id="4" name="Revenue"/>
    <tableColumn id="5" name="% of revenue"/>
    <tableColumn id="6" name="Restaurants"/>
    <tableColumn id="7" name="% of restaurants"/>
    <tableColumn id="8" name="Demand/supply index"/>
    <tableColumn id="9" name="Orders per restaurant"/>
  </tableColumns>
  <tableStyleInfo name="TableStyleMedium2" showRowStripes="1" showColumnStripes="0"/>
</table>
</file>

<file path=xl/tables/table11.xml><?xml version="1.0" encoding="utf-8"?>
<table xmlns="http://schemas.openxmlformats.org/spreadsheetml/2006/main" id="11" name="tblP7" displayName="tblP7" ref="A29:I34" headerRowCount="1">
  <autoFilter ref="A29:I34"/>
  <tableColumns count="9">
    <tableColumn id="1" name="City"/>
    <tableColumn id="2" name="Total orders"/>
    <tableColumn id="3" name="Late night (0-5)"/>
    <tableColumn id="4" name="Morning (6-11)"/>
    <tableColumn id="5" name="Afternoon (12-16)"/>
    <tableColumn id="6" name="Evening (17-21)"/>
    <tableColumn id="7" name="Night (22-23)"/>
    <tableColumn id="8" name="Orders per restaurant"/>
    <tableColumn id="9" name="% of orders"/>
  </tableColumns>
  <tableStyleInfo name="TableStyleMedium2" showRowStripes="1" showColumnStripes="0"/>
</table>
</file>

<file path=xl/tables/table12.xml><?xml version="1.0" encoding="utf-8"?>
<table xmlns="http://schemas.openxmlformats.org/spreadsheetml/2006/main" id="12" name="tblP3" displayName="tblP3" ref="A8:J20" headerRowCount="1">
  <autoFilter ref="A8:J20"/>
  <tableColumns count="10">
    <tableColumn id="1" name="Month"/>
    <tableColumn id="2" name="Orders"/>
    <tableColumn id="3" name="Revenue"/>
    <tableColumn id="4" name="AOV"/>
    <tableColumn id="5" name="Orders/active day"/>
    <tableColumn id="6" name="Active days"/>
    <tableColumn id="7" name="Revenue 3mo MA"/>
    <tableColumn id="8" name="MoM %"/>
    <tableColumn id="9" name="% of year"/>
    <tableColumn id="10" name="Avg rating"/>
  </tableColumns>
  <tableStyleInfo name="TableStyleMedium2" showRowStripes="1" showColumnStripes="0"/>
</table>
</file>

<file path=xl/tables/table13.xml><?xml version="1.0" encoding="utf-8"?>
<table xmlns="http://schemas.openxmlformats.org/spreadsheetml/2006/main" id="13" name="tblP3B" displayName="tblP3B" ref="A26:H50" headerRowCount="1">
  <autoFilter ref="A26:H50"/>
  <tableColumns count="8">
    <tableColumn id="1" name="Hour"/>
    <tableColumn id="2" name="Daypart"/>
    <tableColumn id="3" name="Orders"/>
    <tableColumn id="4" name="Revenue"/>
    <tableColumn id="5" name="AOV"/>
    <tableColumn id="6" name="Avg delivery"/>
    <tableColumn id="7" name="% of orders"/>
    <tableColumn id="8" name="Index vs flat day"/>
  </tableColumns>
  <tableStyleInfo name="TableStyleMedium2" showRowStripes="1" showColumnStripes="0"/>
</table>
</file>

<file path=xl/tables/table14.xml><?xml version="1.0" encoding="utf-8"?>
<table xmlns="http://schemas.openxmlformats.org/spreadsheetml/2006/main" id="14" name="tblDOW" displayName="tblDOW" ref="A54:H61" headerRowCount="1">
  <autoFilter ref="A54:H61"/>
  <tableColumns count="8">
    <tableColumn id="1" name="Day"/>
    <tableColumn id="2" name="#"/>
    <tableColumn id="3" name="Weekend?"/>
    <tableColumn id="4" name="Orders"/>
    <tableColumn id="5" name="Revenue"/>
    <tableColumn id="6" name="AOV"/>
    <tableColumn id="7" name="Active days"/>
    <tableColumn id="8" name="Orders per day"/>
  </tableColumns>
  <tableStyleInfo name="TableStyleMedium2" showRowStripes="1" showColumnStripes="0"/>
</table>
</file>

<file path=xl/tables/table15.xml><?xml version="1.0" encoding="utf-8"?>
<table xmlns="http://schemas.openxmlformats.org/spreadsheetml/2006/main" id="15" name="tblP4" displayName="tblP4" ref="A5:E12" headerRowCount="1">
  <autoFilter ref="A5:E12"/>
  <tableColumns count="5">
    <tableColumn id="1" name="Factor"/>
    <tableColumn id="2" name="n"/>
    <tableColumn id="3" name="Pearson r"/>
    <tableColumn id="4" name="Variance explained %"/>
    <tableColumn id="5" name="Strength"/>
  </tableColumns>
  <tableStyleInfo name="TableStyleMedium2" showRowStripes="1" showColumnStripes="0"/>
</table>
</file>

<file path=xl/tables/table16.xml><?xml version="1.0" encoding="utf-8"?>
<table xmlns="http://schemas.openxmlformats.org/spreadsheetml/2006/main" id="16" name="tblP4B" displayName="tblP4B" ref="A19:G24" headerRowCount="1">
  <autoFilter ref="A19:G24"/>
  <tableColumns count="7">
    <tableColumn id="1" name="Delivery band"/>
    <tableColumn id="2" name="Orders"/>
    <tableColumn id="3" name="Min min"/>
    <tableColumn id="4" name="Max min"/>
    <tableColumn id="5" name="Avg rating"/>
    <tableColumn id="6" name="AOV"/>
    <tableColumn id="7" name="Rating vs overall"/>
  </tableColumns>
  <tableStyleInfo name="TableStyleMedium2" showRowStripes="1" showColumnStripes="0"/>
</table>
</file>

<file path=xl/tables/table17.xml><?xml version="1.0" encoding="utf-8"?>
<table xmlns="http://schemas.openxmlformats.org/spreadsheetml/2006/main" id="17" name="tblRGC" displayName="tblRGC" ref="A31:G36" headerRowCount="1">
  <autoFilter ref="A31:G36"/>
  <tableColumns count="7">
    <tableColumn id="1" name="City"/>
    <tableColumn id="2" name="Published rating"/>
    <tableColumn id="3" name="Actual rating"/>
    <tableColumn id="4" name="Gap"/>
    <tableColumn id="5" name="Orders"/>
    <tableColumn id="6" name="Orders below published"/>
    <tableColumn id="7" name="% below"/>
  </tableColumns>
  <tableStyleInfo name="TableStyleMedium2" showRowStripes="1" showColumnStripes="0"/>
</table>
</file>

<file path=xl/tables/table18.xml><?xml version="1.0" encoding="utf-8"?>
<table xmlns="http://schemas.openxmlformats.org/spreadsheetml/2006/main" id="18" name="tblP5" displayName="tblP5" ref="A8:K18" headerRowCount="1">
  <autoFilter ref="A8:K18"/>
  <tableColumns count="11">
    <tableColumn id="1" name="Rank"/>
    <tableColumn id="2" name="Restaurant"/>
    <tableColumn id="3" name="City"/>
    <tableColumn id="4" name="Cuisine"/>
    <tableColumn id="5" name="Price range"/>
    <tableColumn id="6" name="Orders"/>
    <tableColumn id="7" name="Revenue"/>
    <tableColumn id="8" name="AOV"/>
    <tableColumn id="9" name="% above avg restaurant"/>
    <tableColumn id="10" name="Order count z-score"/>
    <tableColumn id="11" name="Cumulative revenue %"/>
  </tableColumns>
  <tableStyleInfo name="TableStyleMedium2" showRowStripes="1" showColumnStripes="0"/>
</table>
</file>

<file path=xl/tables/table19.xml><?xml version="1.0" encoding="utf-8"?>
<table xmlns="http://schemas.openxmlformats.org/spreadsheetml/2006/main" id="19" name="tblXRD" displayName="tblXRD" ref="A25:E31" headerRowCount="1">
  <autoFilter ref="A25:E31"/>
  <tableColumns count="5">
    <tableColumn id="1" name="Orders per restaurant"/>
    <tableColumn id="2" name="Restaurants"/>
    <tableColumn id="3" name="Orders"/>
    <tableColumn id="4" name="Revenue"/>
    <tableColumn id="5" name="Avg revenue per restaurant"/>
  </tableColumns>
  <tableStyleInfo name="TableStyleMedium2" showRowStripes="1" showColumnStripes="0"/>
</table>
</file>

<file path=xl/tables/table20.xml><?xml version="1.0" encoding="utf-8"?>
<table xmlns="http://schemas.openxmlformats.org/spreadsheetml/2006/main" id="20" name="tblP9" displayName="tblP9" ref="A38:Q98" headerRowCount="1">
  <autoFilter ref="A38:Q98"/>
  <tableColumns count="17">
    <tableColumn id="1" name="Restaurant"/>
    <tableColumn id="2" name="City"/>
    <tableColumn id="3" name="Area"/>
    <tableColumn id="4" name="Cuisine"/>
    <tableColumn id="5" name="Price range"/>
    <tableColumn id="6" name="Delivery?"/>
    <tableColumn id="7" name="Orders"/>
    <tableColumn id="8" name="Revenue"/>
    <tableColumn id="9" name="AOV"/>
    <tableColumn id="10" name="Avg items"/>
    <tableColumn id="11" name="Avg delivery"/>
    <tableColumn id="12" name="Published rating"/>
    <tableColumn id="13" name="Actual rating"/>
    <tableColumn id="14" name="Rating gap"/>
    <tableColumn id="15" name="Rank"/>
    <tableColumn id="16" name="Percentile"/>
    <tableColumn id="17" name="Performance band"/>
  </tableColumns>
  <tableStyleInfo name="TableStyleMedium2" showRowStripes="1" showColumnStripes="0"/>
</table>
</file>

<file path=xl/tables/table21.xml><?xml version="1.0" encoding="utf-8"?>
<table xmlns="http://schemas.openxmlformats.org/spreadsheetml/2006/main" id="21" name="tblP6B" displayName="tblP6B" ref="A5:G10" headerRowCount="1">
  <autoFilter ref="A5:G10"/>
  <tableColumns count="7">
    <tableColumn id="1" name="Area"/>
    <tableColumn id="2" name="Restaurants"/>
    <tableColumn id="3" name="Orders"/>
    <tableColumn id="4" name="Revenue"/>
    <tableColumn id="5" name="% of revenue"/>
    <tableColumn id="6" name="AOV"/>
    <tableColumn id="7" name="Orders per restaurant"/>
  </tableColumns>
  <tableStyleInfo name="TableStyleMedium2" showRowStripes="1" showColumnStripes="0"/>
</table>
</file>

<file path=xl/tables/table22.xml><?xml version="1.0" encoding="utf-8"?>
<table xmlns="http://schemas.openxmlformats.org/spreadsheetml/2006/main" id="22" name="tblP6" displayName="tblP6" ref="A16:K41" headerRowCount="1">
  <autoFilter ref="A16:K41"/>
  <tableColumns count="11">
    <tableColumn id="1" name="City"/>
    <tableColumn id="2" name="Area"/>
    <tableColumn id="3" name="Restaurants"/>
    <tableColumn id="4" name="Orders"/>
    <tableColumn id="5" name="Revenue"/>
    <tableColumn id="6" name="% of revenue"/>
    <tableColumn id="7" name="AOV"/>
    <tableColumn id="8" name="Orders per restaurant"/>
    <tableColumn id="9" name="AOV vs mean"/>
    <tableColumn id="10" name="Primary driver"/>
    <tableColumn id="11" name="Rank"/>
  </tableColumns>
  <tableStyleInfo name="TableStyleMedium2" showRowStripes="1" showColumnStripes="0"/>
</table>
</file>

<file path=xl/tables/table23.xml><?xml version="1.0" encoding="utf-8"?>
<table xmlns="http://schemas.openxmlformats.org/spreadsheetml/2006/main" id="23" name="tblXCU" displayName="tblXCU" ref="A44:G49" headerRowCount="1">
  <autoFilter ref="A44:G49"/>
  <tableColumns count="7">
    <tableColumn id="1" name="Cuisine"/>
    <tableColumn id="2" name="Restaurants"/>
    <tableColumn id="3" name="Orders"/>
    <tableColumn id="4" name="Revenue"/>
    <tableColumn id="5" name="AOV"/>
    <tableColumn id="6" name="Avg rating"/>
    <tableColumn id="7" name="Orders per restaurant"/>
  </tableColumns>
  <tableStyleInfo name="TableStyleMedium2" showRowStripes="1" showColumnStripes="0"/>
</table>
</file>

<file path=xl/tables/table24.xml><?xml version="1.0" encoding="utf-8"?>
<table xmlns="http://schemas.openxmlformats.org/spreadsheetml/2006/main" id="24" name="tblXPD" displayName="tblXPD" ref="A55:G61" headerRowCount="1">
  <autoFilter ref="A55:G61"/>
  <tableColumns count="7">
    <tableColumn id="1" name="Price range"/>
    <tableColumn id="2" name="Delivery?"/>
    <tableColumn id="3" name="Restaurants"/>
    <tableColumn id="4" name="Orders"/>
    <tableColumn id="5" name="Revenue"/>
    <tableColumn id="6" name="AOV"/>
    <tableColumn id="7" name="Avg rating"/>
  </tableColumns>
  <tableStyleInfo name="TableStyleMedium2" showRowStripes="1" showColumnStripes="0"/>
</table>
</file>

<file path=xl/tables/table25.xml><?xml version="1.0" encoding="utf-8"?>
<table xmlns="http://schemas.openxmlformats.org/spreadsheetml/2006/main" id="25" name="tblXPAY" displayName="tblXPAY" ref="A64:G69" headerRowCount="1">
  <autoFilter ref="A64:G69"/>
  <tableColumns count="7">
    <tableColumn id="1" name="Payment method"/>
    <tableColumn id="2" name="Orders"/>
    <tableColumn id="3" name="% of orders"/>
    <tableColumn id="4" name="Revenue"/>
    <tableColumn id="5" name="AOV"/>
    <tableColumn id="6" name="Avg items"/>
    <tableColumn id="7" name="Avg rating"/>
  </tableColumns>
  <tableStyleInfo name="TableStyleMedium2" showRowStripes="1" showColumnStripes="0"/>
</table>
</file>

<file path=xl/tables/table26.xml><?xml version="1.0" encoding="utf-8"?>
<table xmlns="http://schemas.openxmlformats.org/spreadsheetml/2006/main" id="26" name="tblClean" displayName="tblClean" ref="A5:C9" headerRowCount="1">
  <autoFilter ref="A5:C9"/>
  <tableColumns count="3">
    <tableColumn id="1" name="Brief requirement"/>
    <tableColumn id="2" name="What was found"/>
    <tableColumn id="3" name="How it was handled"/>
  </tableColumns>
  <tableStyleInfo name="TableStyleMedium2" showRowStripes="1" showColumnStripes="0"/>
</table>
</file>

<file path=xl/tables/table27.xml><?xml version="1.0" encoding="utf-8"?>
<table xmlns="http://schemas.openxmlformats.org/spreadsheetml/2006/main" id="27" name="tblA1" displayName="tblA1" ref="A12:E17" headerRowCount="1">
  <autoFilter ref="A12:E17"/>
  <tableColumns count="5">
    <tableColumn id="1" name="City"/>
    <tableColumn id="2" name="Restaurants"/>
    <tableColumn id="3" name="% of network"/>
    <tableColumn id="4" name="Avg published rating"/>
    <tableColumn id="5" name="Delivery enabled"/>
  </tableColumns>
  <tableStyleInfo name="TableStyleMedium2" showRowStripes="1" showColumnStripes="0"/>
</table>
</file>

<file path=xl/tables/table28.xml><?xml version="1.0" encoding="utf-8"?>
<table xmlns="http://schemas.openxmlformats.org/spreadsheetml/2006/main" id="28" name="tblA2" displayName="tblA2" ref="A20:F25" headerRowCount="1">
  <autoFilter ref="A20:F25"/>
  <tableColumns count="6">
    <tableColumn id="1" name="City"/>
    <tableColumn id="2" name="Orders"/>
    <tableColumn id="3" name="Revenue"/>
    <tableColumn id="4" name="Restaurants"/>
    <tableColumn id="5" name="Orders per restaurant"/>
    <tableColumn id="6" name="AOV"/>
  </tableColumns>
  <tableStyleInfo name="TableStyleMedium2" showRowStripes="1" showColumnStripes="0"/>
</table>
</file>

<file path=xl/tables/table29.xml><?xml version="1.0" encoding="utf-8"?>
<table xmlns="http://schemas.openxmlformats.org/spreadsheetml/2006/main" id="29" name="tblA4" displayName="tblA4" ref="A28:G33" headerRowCount="1">
  <autoFilter ref="A28:G33"/>
  <tableColumns count="7">
    <tableColumn id="1" name="City"/>
    <tableColumn id="2" name="Orders"/>
    <tableColumn id="3" name="AOV"/>
    <tableColumn id="4" name="Min order"/>
    <tableColumn id="5" name="Max order"/>
    <tableColumn id="6" name="Std dev"/>
    <tableColumn id="7" name="vs national avg"/>
  </tableColumns>
  <tableStyleInfo name="TableStyleMedium2" showRowStripes="1" showColumnStripes="0"/>
</table>
</file>

<file path=xl/tables/table30.xml><?xml version="1.0" encoding="utf-8"?>
<table xmlns="http://schemas.openxmlformats.org/spreadsheetml/2006/main" id="30" name="tblA5" displayName="tblA5" ref="A39:N44" headerRowCount="1">
  <autoFilter ref="A39:N44"/>
  <tableColumns count="14">
    <tableColumn id="1" name="Rank"/>
    <tableColumn id="2" name="Restaurant"/>
    <tableColumn id="3" name="City"/>
    <tableColumn id="4" name="Area"/>
    <tableColumn id="5" name="Cuisine"/>
    <tableColumn id="6" name="Price range"/>
    <tableColumn id="7" name="Orders"/>
    <tableColumn id="8" name="Revenue"/>
    <tableColumn id="9" name="AOV"/>
    <tableColumn id="10" name="Avg rating"/>
    <tableColumn id="11" name="Avg delivery"/>
    <tableColumn id="12" name="Orders vs avg"/>
    <tableColumn id="13" name="AOV vs avg"/>
    <tableColumn id="14" name="What drove the win"/>
  </tableColumns>
  <tableStyleInfo name="TableStyleMedium2" showRowStripes="1" showColumnStripes="0"/>
</table>
</file>

<file path=xl/tables/table31.xml><?xml version="1.0" encoding="utf-8"?>
<table xmlns="http://schemas.openxmlformats.org/spreadsheetml/2006/main" id="31" name="tblA6" displayName="tblA6" ref="A47:O72" headerRowCount="1">
  <autoFilter ref="A47:O72"/>
  <tableColumns count="15">
    <tableColumn id="1" name="Order ID"/>
    <tableColumn id="2" name="Date"/>
    <tableColumn id="3" name="Time"/>
    <tableColumn id="4" name="Restaurant"/>
    <tableColumn id="5" name="City"/>
    <tableColumn id="6" name="Area"/>
    <tableColumn id="7" name="Cuisine"/>
    <tableColumn id="8" name="Price range"/>
    <tableColumn id="9" name="Items"/>
    <tableColumn id="10" name="Total cost"/>
    <tableColumn id="11" name="Payment"/>
    <tableColumn id="12" name="Delivery min"/>
    <tableColumn id="13" name="Customer rating"/>
    <tableColumn id="14" name="Published rating"/>
    <tableColumn id="15" name="Rating gap"/>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s>
</file>

<file path=xl/worksheets/_rels/sheet2.xml.rels><Relationships xmlns="http://schemas.openxmlformats.org/package/2006/relationships"><Relationship Type="http://schemas.openxmlformats.org/officeDocument/2006/relationships/table" Target="/xl/tables/table3.xml" Id="rId1"/><Relationship Type="http://schemas.openxmlformats.org/officeDocument/2006/relationships/table" Target="/xl/tables/table4.xml" Id="rId2"/></Relationships>
</file>

<file path=xl/worksheets/_rels/sheet3.xml.rels><Relationships xmlns="http://schemas.openxmlformats.org/package/2006/relationships"><Relationship Type="http://schemas.openxmlformats.org/officeDocument/2006/relationships/table" Target="/xl/tables/table5.xml" Id="rId1"/><Relationship Type="http://schemas.openxmlformats.org/officeDocument/2006/relationships/table" Target="/xl/tables/table6.xml" Id="rId2"/></Relationships>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table" Target="/xl/tables/table7.xml" Id="rId1"/><Relationship Type="http://schemas.openxmlformats.org/officeDocument/2006/relationships/table" Target="/xl/tables/table8.xml" Id="rId2"/></Relationships>
</file>

<file path=xl/worksheets/_rels/sheet6.xml.rels><Relationships xmlns="http://schemas.openxmlformats.org/package/2006/relationships"><Relationship Type="http://schemas.openxmlformats.org/officeDocument/2006/relationships/table" Target="/xl/tables/table9.xml" Id="rId1"/><Relationship Type="http://schemas.openxmlformats.org/officeDocument/2006/relationships/table" Target="/xl/tables/table10.xml" Id="rId2"/><Relationship Type="http://schemas.openxmlformats.org/officeDocument/2006/relationships/table" Target="/xl/tables/table11.xml" Id="rId3"/></Relationships>
</file>

<file path=xl/worksheets/_rels/sheet7.xml.rels><Relationships xmlns="http://schemas.openxmlformats.org/package/2006/relationships"><Relationship Type="http://schemas.openxmlformats.org/officeDocument/2006/relationships/table" Target="/xl/tables/table12.xml" Id="rId1"/><Relationship Type="http://schemas.openxmlformats.org/officeDocument/2006/relationships/table" Target="/xl/tables/table13.xml" Id="rId2"/><Relationship Type="http://schemas.openxmlformats.org/officeDocument/2006/relationships/table" Target="/xl/tables/table14.xml" Id="rId3"/></Relationships>
</file>

<file path=xl/worksheets/_rels/sheet8.xml.rels><Relationships xmlns="http://schemas.openxmlformats.org/package/2006/relationships"><Relationship Type="http://schemas.openxmlformats.org/officeDocument/2006/relationships/table" Target="/xl/tables/table15.xml" Id="rId1"/><Relationship Type="http://schemas.openxmlformats.org/officeDocument/2006/relationships/table" Target="/xl/tables/table16.xml" Id="rId2"/><Relationship Type="http://schemas.openxmlformats.org/officeDocument/2006/relationships/table" Target="/xl/tables/table17.xml" Id="rId3"/></Relationships>
</file>

<file path=xl/worksheets/_rels/sheet9.xml.rels><Relationships xmlns="http://schemas.openxmlformats.org/package/2006/relationships"><Relationship Type="http://schemas.openxmlformats.org/officeDocument/2006/relationships/table" Target="/xl/tables/table18.xml" Id="rId1"/><Relationship Type="http://schemas.openxmlformats.org/officeDocument/2006/relationships/table" Target="/xl/tables/table19.xml" Id="rId2"/><Relationship Type="http://schemas.openxmlformats.org/officeDocument/2006/relationships/table" Target="/xl/tables/table20.xml" Id="rId3"/></Relationships>
</file>

<file path=xl/worksheets/_rels/sheet10.xml.rels><Relationships xmlns="http://schemas.openxmlformats.org/package/2006/relationships"><Relationship Type="http://schemas.openxmlformats.org/officeDocument/2006/relationships/table" Target="/xl/tables/table21.xml" Id="rId1"/><Relationship Type="http://schemas.openxmlformats.org/officeDocument/2006/relationships/table" Target="/xl/tables/table22.xml" Id="rId2"/><Relationship Type="http://schemas.openxmlformats.org/officeDocument/2006/relationships/table" Target="/xl/tables/table23.xml" Id="rId3"/><Relationship Type="http://schemas.openxmlformats.org/officeDocument/2006/relationships/table" Target="/xl/tables/table24.xml" Id="rId4"/><Relationship Type="http://schemas.openxmlformats.org/officeDocument/2006/relationships/table" Target="/xl/tables/table25.xml" Id="rId5"/></Relationships>
</file>

<file path=xl/worksheets/_rels/sheet11.xml.rels><Relationships xmlns="http://schemas.openxmlformats.org/package/2006/relationships"><Relationship Type="http://schemas.openxmlformats.org/officeDocument/2006/relationships/table" Target="/xl/tables/table26.xml" Id="rId1"/><Relationship Type="http://schemas.openxmlformats.org/officeDocument/2006/relationships/table" Target="/xl/tables/table27.xml" Id="rId2"/><Relationship Type="http://schemas.openxmlformats.org/officeDocument/2006/relationships/table" Target="/xl/tables/table28.xml" Id="rId3"/><Relationship Type="http://schemas.openxmlformats.org/officeDocument/2006/relationships/table" Target="/xl/tables/table29.xml" Id="rId4"/><Relationship Type="http://schemas.openxmlformats.org/officeDocument/2006/relationships/table" Target="/xl/tables/table30.xml" Id="rId5"/><Relationship Type="http://schemas.openxmlformats.org/officeDocument/2006/relationships/table" Target="/xl/tables/table31.xml" Id="rId6"/></Relationships>
</file>

<file path=xl/worksheets/sheet1.xml><?xml version="1.0" encoding="utf-8"?>
<worksheet xmlns="http://schemas.openxmlformats.org/spreadsheetml/2006/main">
  <sheetPr>
    <outlinePr summaryBelow="1" summaryRight="1"/>
    <pageSetUpPr/>
  </sheetPr>
  <dimension ref="A1:J34"/>
  <sheetViews>
    <sheetView showGridLines="0" workbookViewId="0">
      <selection activeCell="A1" sqref="A1"/>
    </sheetView>
  </sheetViews>
  <sheetFormatPr baseColWidth="8" defaultRowHeight="15"/>
  <cols>
    <col width="22" customWidth="1" min="1" max="1"/>
    <col width="86" customWidth="1" min="2" max="2"/>
    <col width="20" customWidth="1" min="3" max="3"/>
  </cols>
  <sheetData>
    <row r="1" ht="30" customHeight="1">
      <c r="A1" s="1" t="inlineStr">
        <is>
          <t>Zomato Order &amp; Restaurant Analysis</t>
        </is>
      </c>
    </row>
    <row r="2">
      <c r="A2" s="2" t="inlineStr">
        <is>
          <t>SQL + BI analysis of 15,000 orders across 500 restaurants | 2024-01-01 to 2024-12-28</t>
        </is>
      </c>
    </row>
    <row r="4" ht="22" customHeight="1">
      <c r="A4" s="3" t="inlineStr">
        <is>
          <t>THE HEADLINE</t>
        </is>
      </c>
    </row>
    <row r="5" ht="30" customHeight="1">
      <c r="A5" s="4" t="inlineStr">
        <is>
          <t>•  Total revenue: Rs 15,573,887 from 15,000 orders (AOV Rs 1,038)</t>
        </is>
      </c>
    </row>
    <row r="6" ht="30" customHeight="1">
      <c r="A6" s="4" t="inlineStr">
        <is>
          <t>•  Network: 500 restaurants, 5 cities, 15,000 customers - every customer_id appears exactly once</t>
        </is>
      </c>
    </row>
    <row r="7" ht="30" customHeight="1">
      <c r="A7" s="4" t="inlineStr">
        <is>
          <t>•  Operations: 52.4 min average delivery, 3.00 average customer rating</t>
        </is>
      </c>
    </row>
    <row r="8" ht="30" customHeight="1">
      <c r="A8" s="4" t="inlineStr">
        <is>
          <t>•  THE CENTRAL FINDING: every apparent difference between cities, cuisines, areas and price tiers disappears once you adjust for how many restaurants each segment has. 0 of 19 significance tests survive that adjustment.</t>
        </is>
      </c>
    </row>
    <row r="9" ht="30" customHeight="1">
      <c r="A9" s="4" t="inlineStr">
        <is>
          <t>•  Demand is driven by supply alone - correlation between restaurant count and order count is 0.989, and every city receives 29.4-30.7 orders per restaurant.</t>
        </is>
      </c>
    </row>
    <row r="11" ht="22" customHeight="1">
      <c r="A11" s="3" t="inlineStr">
        <is>
          <t>HOW THIS WORKBOOK IS ORGANISED</t>
        </is>
      </c>
    </row>
    <row r="12" ht="28" customHeight="1">
      <c r="A12" s="5" t="inlineStr">
        <is>
          <t>Sheet</t>
        </is>
      </c>
      <c r="B12" s="5" t="inlineStr">
        <is>
          <t>What it contains</t>
        </is>
      </c>
      <c r="C12" s="5" t="inlineStr">
        <is>
          <t>Covers</t>
        </is>
      </c>
    </row>
    <row r="13">
      <c r="A13" s="6" t="inlineStr">
        <is>
          <t>01 Data Quality</t>
        </is>
      </c>
      <c r="B13" s="6" t="inlineStr">
        <is>
          <t>PDF extraction audit and the 12 defect classes found</t>
        </is>
      </c>
      <c r="C13" s="6" t="inlineStr">
        <is>
          <t>Audit</t>
        </is>
      </c>
    </row>
    <row r="14">
      <c r="A14" s="6" t="inlineStr">
        <is>
          <t>02 Data Model</t>
        </is>
      </c>
      <c r="B14" s="6" t="inlineStr">
        <is>
          <t>Star schema, MySQL DDL, relationships</t>
        </is>
      </c>
      <c r="C14" s="6" t="inlineStr">
        <is>
          <t>Brief Task 1</t>
        </is>
      </c>
    </row>
    <row r="15">
      <c r="A15" s="6" t="inlineStr">
        <is>
          <t>03 Dashboard</t>
        </is>
      </c>
      <c r="B15" s="6" t="inlineStr">
        <is>
          <t>One-screen KPI and chart view</t>
        </is>
      </c>
      <c r="C15" s="6" t="inlineStr">
        <is>
          <t>Power BI Task 10</t>
        </is>
      </c>
    </row>
    <row r="16">
      <c r="A16" s="6" t="inlineStr">
        <is>
          <t>04 Significance</t>
        </is>
      </c>
      <c r="B16" s="6" t="inlineStr">
        <is>
          <t>19 chi-square / ANOVA tests behind every claim</t>
        </is>
      </c>
      <c r="C16" s="6" t="inlineStr">
        <is>
          <t>Method</t>
        </is>
      </c>
    </row>
    <row r="17">
      <c r="A17" s="6" t="inlineStr">
        <is>
          <t>05 Cities</t>
        </is>
      </c>
      <c r="B17" s="6" t="inlineStr">
        <is>
          <t>Restaurants per city, order share, density heat map</t>
        </is>
      </c>
      <c r="C17" s="6" t="inlineStr">
        <is>
          <t>PBI Tasks 1, 2, 7</t>
        </is>
      </c>
    </row>
    <row r="18">
      <c r="A18" s="6" t="inlineStr">
        <is>
          <t>06 Time Trends</t>
        </is>
      </c>
      <c r="B18" s="6" t="inlineStr">
        <is>
          <t>Monthly trend, hour of day, day of week</t>
        </is>
      </c>
      <c r="C18" s="6" t="inlineStr">
        <is>
          <t>PBI Task 3</t>
        </is>
      </c>
    </row>
    <row r="19">
      <c r="A19" s="6" t="inlineStr">
        <is>
          <t>07 Ratings</t>
        </is>
      </c>
      <c r="B19" s="6" t="inlineStr">
        <is>
          <t>Correlation matrix, delivery vs satisfaction, rating gap</t>
        </is>
      </c>
      <c r="C19" s="6" t="inlineStr">
        <is>
          <t>PBI Task 4</t>
        </is>
      </c>
    </row>
    <row r="20">
      <c r="A20" s="6" t="inlineStr">
        <is>
          <t>08 Restaurants</t>
        </is>
      </c>
      <c r="B20" s="6" t="inlineStr">
        <is>
          <t>Top earners, full sales table, order distribution</t>
        </is>
      </c>
      <c r="C20" s="6" t="inlineStr">
        <is>
          <t>PBI Tasks 5, 9</t>
        </is>
      </c>
    </row>
    <row r="21">
      <c r="A21" s="6" t="inlineStr">
        <is>
          <t>09 Areas &amp; Cuisine</t>
        </is>
      </c>
      <c r="B21" s="6" t="inlineStr">
        <is>
          <t>Revenue by area and cuisine, price tiers</t>
        </is>
      </c>
      <c r="C21" s="6" t="inlineStr">
        <is>
          <t>PBI Task 6</t>
        </is>
      </c>
    </row>
    <row r="22">
      <c r="A22" s="6" t="inlineStr">
        <is>
          <t>10 SQL Tasks</t>
        </is>
      </c>
      <c r="B22" s="6" t="inlineStr">
        <is>
          <t>The six SQL deliverables the brief asks for</t>
        </is>
      </c>
      <c r="C22" s="6" t="inlineStr">
        <is>
          <t>Brief Task 2</t>
        </is>
      </c>
    </row>
    <row r="23">
      <c r="A23" s="6" t="inlineStr">
        <is>
          <t>11 SQL Library</t>
        </is>
      </c>
      <c r="B23" s="6" t="inlineStr">
        <is>
          <t>All 27 queries exactly as executed</t>
        </is>
      </c>
      <c r="C23" s="6" t="inlineStr">
        <is>
          <t>Evidence</t>
        </is>
      </c>
    </row>
    <row r="25" ht="22" customHeight="1">
      <c r="A25" s="3" t="inlineStr">
        <is>
          <t>DEFINITIONS</t>
        </is>
      </c>
    </row>
    <row r="26" ht="28" customHeight="1">
      <c r="A26" s="7" t="inlineStr">
        <is>
          <t>Term</t>
        </is>
      </c>
      <c r="B26" s="7" t="inlineStr">
        <is>
          <t>Definition used consistently across all tasks</t>
        </is>
      </c>
    </row>
    <row r="27">
      <c r="A27" s="6" t="inlineStr">
        <is>
          <t>Revenue</t>
        </is>
      </c>
      <c r="B27" s="6" t="inlineStr">
        <is>
          <t>SUM(total_cost). The brief defines total_cost as the full order price including tax and delivery.</t>
        </is>
      </c>
    </row>
    <row r="28">
      <c r="A28" s="6" t="inlineStr">
        <is>
          <t>AOV</t>
        </is>
      </c>
      <c r="B28" s="6" t="inlineStr">
        <is>
          <t>Average order value = revenue / orders.</t>
        </is>
      </c>
    </row>
    <row r="29">
      <c r="A29" s="6" t="inlineStr">
        <is>
          <t>Orders per restaurant</t>
        </is>
      </c>
      <c r="B29" s="6" t="inlineStr">
        <is>
          <t>The key normaliser. Raw order counts only measure how many restaurants a segment has.</t>
        </is>
      </c>
    </row>
    <row r="30">
      <c r="A30" s="6" t="inlineStr">
        <is>
          <t>Demand/supply index</t>
        </is>
      </c>
      <c r="B30" s="6" t="inlineStr">
        <is>
          <t>A segment's share of orders divided by its share of restaurants. 1.00 = perfectly proportional.</t>
        </is>
      </c>
    </row>
    <row r="31">
      <c r="A31" s="6" t="inlineStr">
        <is>
          <t>Rating gap</t>
        </is>
      </c>
      <c r="B31" s="6" t="inlineStr">
        <is>
          <t>customer_rating (per order) minus avg_rating (restaurant master).</t>
        </is>
      </c>
    </row>
    <row r="32">
      <c r="A32" s="6" t="inlineStr">
        <is>
          <t>Significant</t>
        </is>
      </c>
      <c r="B32" s="6" t="inlineStr">
        <is>
          <t>Chi-square or ANOVA statistic above the 0.05 critical value. Nothing is called an insight otherwise.</t>
        </is>
      </c>
    </row>
    <row r="34">
      <c r="A34" s="8" t="inlineStr">
        <is>
          <t>Sources arrived as PDF print-outs of spreadsheets (218 pages of orders, 8 of restaurants). Coordinate-based extraction recovered 15,000/15,000 and 500/500 rows with zero loss. Analysis runs on SQLite; portable MySQL 8 DDL is in mysql/01_schema_mysql.sql.</t>
        </is>
      </c>
    </row>
  </sheetData>
  <mergeCells count="11">
    <mergeCell ref="A1:J1"/>
    <mergeCell ref="A5:J5"/>
    <mergeCell ref="A8:J8"/>
    <mergeCell ref="A6:J6"/>
    <mergeCell ref="A9:J9"/>
    <mergeCell ref="A34:J34"/>
    <mergeCell ref="A4:J4"/>
    <mergeCell ref="A7:J7"/>
    <mergeCell ref="A2:J2"/>
    <mergeCell ref="A25:J25"/>
    <mergeCell ref="A11:J11"/>
  </mergeCells>
  <pageMargins left="0.75" right="0.75" top="1" bottom="1" header="0.5" footer="0.5"/>
  <tableParts count="2">
    <tablePart xmlns:r="http://schemas.openxmlformats.org/officeDocument/2006/relationships" r:id="rId1"/>
    <tablePart xmlns:r="http://schemas.openxmlformats.org/officeDocument/2006/relationships" r:id="rId2"/>
  </tableParts>
</worksheet>
</file>

<file path=xl/worksheets/sheet2.xml><?xml version="1.0" encoding="utf-8"?>
<worksheet xmlns="http://schemas.openxmlformats.org/spreadsheetml/2006/main">
  <sheetPr>
    <outlinePr summaryBelow="1" summaryRight="1"/>
    <pageSetUpPr/>
  </sheetPr>
  <dimension ref="A1:J34"/>
  <sheetViews>
    <sheetView showGridLines="0" workbookViewId="0">
      <selection activeCell="A1" sqref="A1"/>
    </sheetView>
  </sheetViews>
  <sheetFormatPr baseColWidth="8" defaultRowHeight="15"/>
  <cols>
    <col width="15" customWidth="1" min="1" max="1"/>
    <col width="26" customWidth="1" min="2" max="2"/>
    <col width="50" customWidth="1" min="3" max="3"/>
    <col width="10" customWidth="1" min="4" max="4"/>
    <col width="62" customWidth="1" min="5" max="5"/>
  </cols>
  <sheetData>
    <row r="1" ht="30" customHeight="1">
      <c r="A1" s="1" t="inlineStr">
        <is>
          <t>Data Quality Audit</t>
        </is>
      </c>
    </row>
    <row r="2">
      <c r="A2" s="2" t="inlineStr">
        <is>
          <t>The source was a PDF, not a CSV. Extraction and every defect found are documented here.</t>
        </is>
      </c>
    </row>
    <row r="4" ht="18" customHeight="1">
      <c r="A4" s="9" t="inlineStr">
        <is>
          <t>PDF PAGES PARSED</t>
        </is>
      </c>
      <c r="B4" s="10" t="n"/>
      <c r="C4" s="11" t="inlineStr">
        <is>
          <t>ROWS RECOVERED</t>
        </is>
      </c>
      <c r="D4" s="10" t="n"/>
      <c r="E4" s="11" t="inlineStr">
        <is>
          <t>ROWS LOST</t>
        </is>
      </c>
      <c r="F4" s="10" t="n"/>
      <c r="G4" s="12" t="inlineStr">
        <is>
          <t>DEFECT CLASSES</t>
        </is>
      </c>
      <c r="H4" s="10" t="n"/>
      <c r="I4" s="11" t="inlineStr">
        <is>
          <t>JOIN SUCCESS</t>
        </is>
      </c>
      <c r="J4" s="10" t="n"/>
    </row>
    <row r="5" ht="30" customHeight="1">
      <c r="A5" s="13" t="n">
        <v>226</v>
      </c>
      <c r="B5" s="10" t="n"/>
      <c r="C5" s="13" t="n">
        <v>15500</v>
      </c>
      <c r="D5" s="10" t="n"/>
      <c r="E5" s="13" t="n">
        <v>0</v>
      </c>
      <c r="F5" s="10" t="n"/>
      <c r="G5" s="13" t="n">
        <v>12</v>
      </c>
      <c r="H5" s="10" t="n"/>
      <c r="I5" s="14" t="n">
        <v>100</v>
      </c>
      <c r="J5" s="10" t="n"/>
    </row>
    <row r="7" ht="22" customHeight="1">
      <c r="A7" s="3" t="inlineStr">
        <is>
          <t>EXTRACTION RESULT</t>
        </is>
      </c>
    </row>
    <row r="8" ht="28" customHeight="1">
      <c r="A8" s="5" t="inlineStr">
        <is>
          <t>Source PDF</t>
        </is>
      </c>
      <c r="B8" s="5" t="inlineStr">
        <is>
          <t>Pages</t>
        </is>
      </c>
      <c r="C8" s="5" t="inlineStr">
        <is>
          <t>Rows recovered</t>
        </is>
      </c>
      <c r="D8" s="5" t="inlineStr">
        <is>
          <t>Rows expected</t>
        </is>
      </c>
      <c r="E8" s="5" t="inlineStr">
        <is>
          <t>Recovery</t>
        </is>
      </c>
      <c r="F8" s="5" t="inlineStr">
        <is>
          <t>Method</t>
        </is>
      </c>
    </row>
    <row r="9">
      <c r="A9" s="6" t="inlineStr">
        <is>
          <t>Zomato_Orders -updated.pdf</t>
        </is>
      </c>
      <c r="B9" s="15" t="n">
        <v>218</v>
      </c>
      <c r="C9" s="15" t="n">
        <v>15000</v>
      </c>
      <c r="D9" s="15" t="n">
        <v>15000</v>
      </c>
      <c r="E9" s="6" t="inlineStr">
        <is>
          <t>100%</t>
        </is>
      </c>
      <c r="F9" s="6" t="inlineStr">
        <is>
          <t>Coordinate-based parse, per-row schema validation</t>
        </is>
      </c>
    </row>
    <row r="10">
      <c r="A10" s="6" t="inlineStr">
        <is>
          <t>Zomato_Restaurants -updated.pdf</t>
        </is>
      </c>
      <c r="B10" s="15" t="n">
        <v>8</v>
      </c>
      <c r="C10" s="15" t="n">
        <v>500</v>
      </c>
      <c r="D10" s="15" t="n">
        <v>500</v>
      </c>
      <c r="E10" s="6" t="inlineStr">
        <is>
          <t>100%</t>
        </is>
      </c>
      <c r="F10" s="6" t="inlineStr">
        <is>
          <t>Same method</t>
        </is>
      </c>
    </row>
    <row r="12" ht="22" customHeight="1">
      <c r="A12" s="3" t="inlineStr">
        <is>
          <t>DEFECT LOG</t>
        </is>
      </c>
    </row>
    <row r="13" ht="28" customHeight="1">
      <c r="A13" s="5" t="inlineStr">
        <is>
          <t>Table</t>
        </is>
      </c>
      <c r="B13" s="5" t="inlineStr">
        <is>
          <t>Column</t>
        </is>
      </c>
      <c r="C13" s="5" t="inlineStr">
        <is>
          <t>Issue found</t>
        </is>
      </c>
      <c r="D13" s="5" t="inlineStr">
        <is>
          <t>Rows</t>
        </is>
      </c>
      <c r="E13" s="5" t="inlineStr">
        <is>
          <t>Rule applied</t>
        </is>
      </c>
    </row>
    <row r="14">
      <c r="A14" s="6" t="inlineStr">
        <is>
          <t>orders</t>
        </is>
      </c>
      <c r="B14" s="6" t="inlineStr">
        <is>
          <t>restaurant_id</t>
        </is>
      </c>
      <c r="C14" s="6" t="inlineStr">
        <is>
          <t>Excel mangled the hex key into scientific notation / integer (e.g. '9.18E+07') before the PDF was printed</t>
        </is>
      </c>
      <c r="D14" s="15" t="n">
        <v>171</v>
      </c>
      <c r="E14" s="6" t="inlineStr">
        <is>
          <t>Kept. The SAME corrupted strings appear in the restaurant master, so the join still resolves - but the key is no longer a reliable hex id and is flagged</t>
        </is>
      </c>
    </row>
    <row r="15">
      <c r="A15" s="6" t="inlineStr">
        <is>
          <t>orders</t>
        </is>
      </c>
      <c r="B15" s="6" t="inlineStr">
        <is>
          <t>order_id</t>
        </is>
      </c>
      <c r="C15" s="6" t="inlineStr">
        <is>
          <t>Same Excel coercion on the order key</t>
        </is>
      </c>
      <c r="D15" s="15" t="n">
        <v>106</v>
      </c>
      <c r="E15" s="6" t="inlineStr">
        <is>
          <t>Kept and flagged. Uniqueness still holds, so it remains usable as a primary key</t>
        </is>
      </c>
    </row>
    <row r="16">
      <c r="A16" s="6" t="inlineStr">
        <is>
          <t>orders</t>
        </is>
      </c>
      <c r="B16" s="6" t="inlineStr">
        <is>
          <t>customer_id</t>
        </is>
      </c>
      <c r="C16" s="6" t="inlineStr">
        <is>
          <t>Same Excel coercion on the customer key</t>
        </is>
      </c>
      <c r="D16" s="15" t="n">
        <v>109</v>
      </c>
      <c r="E16" s="6" t="inlineStr">
        <is>
          <t>Kept and flagged. Not used as a join key anywhere in the analysis</t>
        </is>
      </c>
    </row>
    <row r="17">
      <c r="A17" s="6" t="inlineStr">
        <is>
          <t>restaurants</t>
        </is>
      </c>
      <c r="B17" s="6" t="inlineStr">
        <is>
          <t>restaurant_id</t>
        </is>
      </c>
      <c r="C17" s="6" t="inlineStr">
        <is>
          <t>Same Excel coercion on 5 restaurant keys</t>
        </is>
      </c>
      <c r="D17" s="15" t="n">
        <v>5</v>
      </c>
      <c r="E17" s="6" t="inlineStr">
        <is>
          <t>Kept and flagged - corruption is consistent with the orders file so referential integrity is preserved</t>
        </is>
      </c>
    </row>
    <row r="18">
      <c r="A18" s="6" t="inlineStr">
        <is>
          <t>both</t>
        </is>
      </c>
      <c r="B18" s="6" t="inlineStr">
        <is>
          <t>(whole file)</t>
        </is>
      </c>
      <c r="C18" s="6" t="inlineStr">
        <is>
          <t>Source delivered as a PDF print-out of a spreadsheet, not CSV</t>
        </is>
      </c>
      <c r="D18" s="15" t="n">
        <v>226</v>
      </c>
      <c r="E18" s="6" t="inlineStr">
        <is>
          <t>Coordinate-based extraction with per-row schema validation; 15,000 / 15,000 and 500 / 500 rows recovered with zero loss</t>
        </is>
      </c>
    </row>
    <row r="19">
      <c r="A19" s="6" t="inlineStr">
        <is>
          <t>orders</t>
        </is>
      </c>
      <c r="B19" s="6" t="inlineStr">
        <is>
          <t>order_id</t>
        </is>
      </c>
      <c r="C19" s="6" t="inlineStr">
        <is>
          <t>Duplicate order records (brief Task 2 asks us to check)</t>
        </is>
      </c>
      <c r="D19" s="15" t="n">
        <v>0</v>
      </c>
      <c r="E19" s="6" t="inlineStr">
        <is>
          <t>None found - no de-duplication required, which is itself worth reporting</t>
        </is>
      </c>
    </row>
    <row r="20">
      <c r="A20" s="6" t="inlineStr">
        <is>
          <t>restaurants</t>
        </is>
      </c>
      <c r="B20" s="6" t="inlineStr">
        <is>
          <t>restaurant_id</t>
        </is>
      </c>
      <c r="C20" s="6" t="inlineStr">
        <is>
          <t>Duplicate restaurant records</t>
        </is>
      </c>
      <c r="D20" s="15" t="n">
        <v>0</v>
      </c>
      <c r="E20" s="6" t="inlineStr">
        <is>
          <t>None found</t>
        </is>
      </c>
    </row>
    <row r="21">
      <c r="A21" s="6" t="inlineStr">
        <is>
          <t>orders</t>
        </is>
      </c>
      <c r="B21" s="6" t="inlineStr">
        <is>
          <t>(all)</t>
        </is>
      </c>
      <c r="C21" s="6" t="inlineStr">
        <is>
          <t>NULL values across the 10 business columns</t>
        </is>
      </c>
      <c r="D21" s="15" t="n">
        <v>0</v>
      </c>
      <c r="E21" s="6" t="inlineStr">
        <is>
          <t>None found - no imputation required</t>
        </is>
      </c>
    </row>
    <row r="22">
      <c r="A22" s="6" t="inlineStr">
        <is>
          <t>restaurants</t>
        </is>
      </c>
      <c r="B22" s="6" t="inlineStr">
        <is>
          <t>(all)</t>
        </is>
      </c>
      <c r="C22" s="6" t="inlineStr">
        <is>
          <t>NULL values across the 9 business columns</t>
        </is>
      </c>
      <c r="D22" s="15" t="n">
        <v>0</v>
      </c>
      <c r="E22" s="6" t="inlineStr">
        <is>
          <t>None found - no imputation required</t>
        </is>
      </c>
    </row>
    <row r="23">
      <c r="A23" s="6" t="inlineStr">
        <is>
          <t>restaurants</t>
        </is>
      </c>
      <c r="B23" s="6" t="inlineStr">
        <is>
          <t>avg_rating / orders.customer_rating</t>
        </is>
      </c>
      <c r="C23" s="6" t="inlineStr">
        <is>
          <t>Published restaurant rating is systematically higher than the ratings its own orders actually receive (3.75 vs 3.00 stars)</t>
        </is>
      </c>
      <c r="D23" s="15" t="n">
        <v>500</v>
      </c>
      <c r="E23" s="6" t="inlineStr">
        <is>
          <t>Kept both. The 0.75-star gap is reported as a finding, not corrected</t>
        </is>
      </c>
    </row>
    <row r="24">
      <c r="A24" s="6" t="inlineStr">
        <is>
          <t>orders</t>
        </is>
      </c>
      <c r="B24" s="6" t="inlineStr">
        <is>
          <t>customer_id</t>
        </is>
      </c>
      <c r="C24" s="6" t="inlineStr">
        <is>
          <t>Every order has a unique customer_id - no repeat buyers</t>
        </is>
      </c>
      <c r="D24" s="15" t="n">
        <v>15000</v>
      </c>
      <c r="E24" s="6" t="inlineStr">
        <is>
          <t>Reported as a modelling limitation: retention, cohort and CLV analysis are impossible on this dataset</t>
        </is>
      </c>
    </row>
    <row r="25">
      <c r="A25" s="6" t="inlineStr">
        <is>
          <t>orders</t>
        </is>
      </c>
      <c r="B25" s="6" t="inlineStr">
        <is>
          <t>order_date</t>
        </is>
      </c>
      <c r="C25" s="6" t="inlineStr">
        <is>
          <t>29 calendar days of 2024 have no orders at all</t>
        </is>
      </c>
      <c r="D25" s="15" t="n">
        <v>29</v>
      </c>
      <c r="E25" s="6" t="inlineStr">
        <is>
          <t>Left as-is; gaps are flagged on the trend chart rather than interpolated</t>
        </is>
      </c>
    </row>
    <row r="28" ht="22" customHeight="1">
      <c r="A28" s="3" t="inlineStr">
        <is>
          <t>ANALYTICAL DECISIONS</t>
        </is>
      </c>
    </row>
    <row r="29" ht="32" customHeight="1">
      <c r="A29" s="16" t="inlineStr">
        <is>
          <t>1.  Revenue = SUM(total_cost). The brief defines total_cost as the full order price including tax and delivery, so it is the revenue measure throughout.</t>
        </is>
      </c>
    </row>
    <row r="30" ht="32" customHeight="1">
      <c r="A30" s="16" t="inlineStr">
        <is>
          <t>2.  The join is orders.restaurant_id -&gt; restaurants.restaurant_id, 1:many. It resolves for 15,000 of 15,000 orders because the Excel key corruption is identical in both files.</t>
        </is>
      </c>
    </row>
    <row r="31" ht="32" customHeight="1">
      <c r="A31" s="16" t="inlineStr">
        <is>
          <t>3.  Corrupted keys are flagged, not repaired. Inventing a hex id would break the join; flagging keeps the 171 affected orders in every total while making the defect visible.</t>
        </is>
      </c>
    </row>
    <row r="32" ht="32" customHeight="1">
      <c r="A32" s="16" t="inlineStr">
        <is>
          <t>4.  No de-duplication and no NULL imputation were needed. The brief asks for both, so the finding is that neither was required - verified rather than assumed.</t>
        </is>
      </c>
    </row>
    <row r="33" ht="32" customHeight="1">
      <c r="A33" s="16" t="inlineStr">
        <is>
          <t>5.  Statistical significance is tested before any 'insight' is claimed. Chi-square is used for count distributions and one-way ANOVA for mean differences, because with 15,000 rows visual differences of 1-2% are indistinguishable from sampling noise.</t>
        </is>
      </c>
    </row>
    <row r="34" ht="32" customHeight="1">
      <c r="A34" s="16" t="inlineStr">
        <is>
          <t>6.  City order volume is benchmarked against restaurant supply, not against other cities. Raw order counts only measure how many restaurants a city has.</t>
        </is>
      </c>
    </row>
  </sheetData>
  <mergeCells count="21">
    <mergeCell ref="A30:E30"/>
    <mergeCell ref="A34:E34"/>
    <mergeCell ref="C5:D5"/>
    <mergeCell ref="E5:F5"/>
    <mergeCell ref="A1:E1"/>
    <mergeCell ref="C4:D4"/>
    <mergeCell ref="E4:F4"/>
    <mergeCell ref="A7:E7"/>
    <mergeCell ref="A12:E12"/>
    <mergeCell ref="A2:E2"/>
    <mergeCell ref="A5:B5"/>
    <mergeCell ref="G5:H5"/>
    <mergeCell ref="A33:E33"/>
    <mergeCell ref="I5:J5"/>
    <mergeCell ref="A32:E32"/>
    <mergeCell ref="A4:B4"/>
    <mergeCell ref="G4:H4"/>
    <mergeCell ref="A29:E29"/>
    <mergeCell ref="I4:J4"/>
    <mergeCell ref="A28:E28"/>
    <mergeCell ref="A31:E31"/>
  </mergeCells>
  <conditionalFormatting sqref="D14:D25">
    <cfRule type="dataBar" priority="1">
      <dataBar>
        <cfvo type="num" val="0"/>
        <cfvo type="max"/>
        <color rgb="00C00000"/>
      </dataBar>
    </cfRule>
  </conditionalFormatting>
  <pageMargins left="0.75" right="0.75" top="1" bottom="1" header="0.5" footer="0.5"/>
  <tableParts count="2">
    <tablePart xmlns:r="http://schemas.openxmlformats.org/officeDocument/2006/relationships" r:id="rId1"/>
    <tablePart xmlns:r="http://schemas.openxmlformats.org/officeDocument/2006/relationships" r:id="rId2"/>
  </tableParts>
</worksheet>
</file>

<file path=xl/worksheets/sheet3.xml><?xml version="1.0" encoding="utf-8"?>
<worksheet xmlns="http://schemas.openxmlformats.org/spreadsheetml/2006/main">
  <sheetPr>
    <outlinePr summaryBelow="1" summaryRight="1"/>
    <pageSetUpPr/>
  </sheetPr>
  <dimension ref="A1:F26"/>
  <sheetViews>
    <sheetView showGridLines="0" workbookViewId="0">
      <selection activeCell="A1" sqref="A1"/>
    </sheetView>
  </sheetViews>
  <sheetFormatPr baseColWidth="8" defaultRowHeight="15"/>
  <cols>
    <col width="20" customWidth="1" min="1" max="1"/>
    <col width="38" customWidth="1" min="2" max="2"/>
    <col width="10" customWidth="1" min="3" max="3"/>
    <col width="22" customWidth="1" min="4" max="4"/>
    <col width="32" customWidth="1" min="5" max="5"/>
    <col width="60" customWidth="1" min="6" max="6"/>
  </cols>
  <sheetData>
    <row r="1" ht="30" customHeight="1">
      <c r="A1" s="1" t="inlineStr">
        <is>
          <t>Data Model - Star Schema</t>
        </is>
      </c>
    </row>
    <row r="2">
      <c r="A2" s="2" t="inlineStr">
        <is>
          <t>Brief Task 1 (MySQL ZomatoDB) and Task 2.4 (the join), built as a constrained star schema</t>
        </is>
      </c>
    </row>
    <row r="4" ht="22" customHeight="1">
      <c r="A4" s="3" t="inlineStr">
        <is>
          <t>TABLES</t>
        </is>
      </c>
    </row>
    <row r="5" ht="28" customHeight="1">
      <c r="A5" s="5" t="inlineStr">
        <is>
          <t>Table</t>
        </is>
      </c>
      <c r="B5" s="5" t="inlineStr">
        <is>
          <t>Type</t>
        </is>
      </c>
      <c r="C5" s="5" t="inlineStr">
        <is>
          <t>Rows</t>
        </is>
      </c>
      <c r="D5" s="5" t="inlineStr">
        <is>
          <t>Keys</t>
        </is>
      </c>
      <c r="E5" s="5" t="inlineStr">
        <is>
          <t>Foreign keys</t>
        </is>
      </c>
      <c r="F5" s="5" t="inlineStr">
        <is>
          <t>Key measures / attributes</t>
        </is>
      </c>
    </row>
    <row r="6">
      <c r="A6" s="6" t="inlineStr">
        <is>
          <t>dim_restaurant</t>
        </is>
      </c>
      <c r="B6" s="6" t="inlineStr">
        <is>
          <t>Dimension</t>
        </is>
      </c>
      <c r="C6" s="15" t="n">
        <v>500</v>
      </c>
      <c r="D6" s="6" t="inlineStr">
        <is>
          <t>restaurant_id (PK)</t>
        </is>
      </c>
      <c r="E6" s="6" t="inlineStr">
        <is>
          <t>-</t>
        </is>
      </c>
      <c r="F6" s="6" t="inlineStr">
        <is>
          <t>name, city, area, cuisine, avg_rating, total_ratings, price_range, delivery_available</t>
        </is>
      </c>
    </row>
    <row r="7">
      <c r="A7" s="6" t="inlineStr">
        <is>
          <t>fact_order</t>
        </is>
      </c>
      <c r="B7" s="6" t="inlineStr">
        <is>
          <t>Fact (grain: 1 order)</t>
        </is>
      </c>
      <c r="C7" s="15" t="n">
        <v>15000</v>
      </c>
      <c r="D7" s="6" t="inlineStr">
        <is>
          <t>order_id (PK)</t>
        </is>
      </c>
      <c r="E7" s="6" t="inlineStr">
        <is>
          <t>restaurant_id -&gt; dim_restaurant</t>
        </is>
      </c>
      <c r="F7" s="6" t="inlineStr">
        <is>
          <t>date/time, delivery_time, total_cost, item_count, payment_method, customer_rating</t>
        </is>
      </c>
    </row>
    <row r="9" ht="22" customHeight="1">
      <c r="A9" s="3" t="inlineStr">
        <is>
          <t>RELATIONSHIP</t>
        </is>
      </c>
    </row>
    <row r="10">
      <c r="A10" s="17" t="inlineStr">
        <is>
          <t>dim_restaurant  1 ----&lt; fact_order     (one restaurant receives many orders)</t>
        </is>
      </c>
    </row>
    <row r="11">
      <c r="A11" s="17" t="inlineStr"/>
    </row>
    <row r="12">
      <c r="A12" s="17" t="inlineStr">
        <is>
          <t>Join result: 15,000 of 15,000 orders resolve (0 lost)</t>
        </is>
      </c>
    </row>
    <row r="13">
      <c r="A13" s="17" t="inlineStr">
        <is>
          <t>171 orders carry an Excel-corrupted restaurant_id - but the SAME corrupted string</t>
        </is>
      </c>
    </row>
    <row r="14">
      <c r="A14" s="17" t="inlineStr">
        <is>
          <t>appears in the restaurant master, so referential integrity survives.</t>
        </is>
      </c>
    </row>
    <row r="16" ht="22" customHeight="1">
      <c r="A16" s="3" t="inlineStr">
        <is>
          <t>CONSTRAINTS ENFORCED</t>
        </is>
      </c>
    </row>
    <row r="17" ht="28" customHeight="1">
      <c r="A17" s="7" t="inlineStr">
        <is>
          <t>Table</t>
        </is>
      </c>
      <c r="B17" s="7" t="inlineStr">
        <is>
          <t>Constraint</t>
        </is>
      </c>
      <c r="C17" s="7" t="inlineStr">
        <is>
          <t>What it guarantees</t>
        </is>
      </c>
    </row>
    <row r="18">
      <c r="A18" s="6" t="inlineStr">
        <is>
          <t>dim_restaurant</t>
        </is>
      </c>
      <c r="B18" s="6" t="inlineStr">
        <is>
          <t>PRIMARY KEY (restaurant_id)</t>
        </is>
      </c>
      <c r="C18" s="6" t="inlineStr">
        <is>
          <t>Uniqueness - 0 duplicates found</t>
        </is>
      </c>
    </row>
    <row r="19">
      <c r="A19" s="6" t="inlineStr">
        <is>
          <t>dim_restaurant</t>
        </is>
      </c>
      <c r="B19" s="6" t="inlineStr">
        <is>
          <t>CHECK avg_rating BETWEEN 0 AND 5</t>
        </is>
      </c>
      <c r="C19" s="6" t="inlineStr">
        <is>
          <t>Rating domain</t>
        </is>
      </c>
    </row>
    <row r="20">
      <c r="A20" s="6" t="inlineStr">
        <is>
          <t>dim_restaurant</t>
        </is>
      </c>
      <c r="B20" s="6" t="inlineStr">
        <is>
          <t>ENUM price_range / delivery_available</t>
        </is>
      </c>
      <c r="C20" s="6" t="inlineStr">
        <is>
          <t>Only Low/Medium/High and Yes/No permitted</t>
        </is>
      </c>
    </row>
    <row r="21">
      <c r="A21" s="6" t="inlineStr">
        <is>
          <t>fact_order</t>
        </is>
      </c>
      <c r="B21" s="6" t="inlineStr">
        <is>
          <t>PRIMARY KEY (order_id)</t>
        </is>
      </c>
      <c r="C21" s="6" t="inlineStr">
        <is>
          <t>Uniqueness - 0 duplicates found</t>
        </is>
      </c>
    </row>
    <row r="22">
      <c r="A22" s="6" t="inlineStr">
        <is>
          <t>fact_order</t>
        </is>
      </c>
      <c r="B22" s="6" t="inlineStr">
        <is>
          <t>FOREIGN KEY restaurant_id</t>
        </is>
      </c>
      <c r="C22" s="6" t="inlineStr">
        <is>
          <t>Referential integrity - 0 orphans</t>
        </is>
      </c>
    </row>
    <row r="23">
      <c r="A23" s="6" t="inlineStr">
        <is>
          <t>fact_order</t>
        </is>
      </c>
      <c r="B23" s="6" t="inlineStr">
        <is>
          <t>CHECK total_cost &gt; 0, item_count &gt; 0</t>
        </is>
      </c>
      <c r="C23" s="6" t="inlineStr">
        <is>
          <t>No zero-value orders - 0 violations</t>
        </is>
      </c>
    </row>
    <row r="24">
      <c r="A24" s="6" t="inlineStr">
        <is>
          <t>fact_order</t>
        </is>
      </c>
      <c r="B24" s="6" t="inlineStr">
        <is>
          <t>CHECK customer_rating BETWEEN 1 AND 5</t>
        </is>
      </c>
      <c r="C24" s="6" t="inlineStr">
        <is>
          <t>Rating domain - 0 violations</t>
        </is>
      </c>
    </row>
    <row r="26">
      <c r="A26" s="8" t="inlineStr">
        <is>
          <t>Production MySQL 8 DDL (CREATE DATABASE ZomatoDB, staging tables, LOAD DATA INFILE, ROW_NUMBER de-duplication, the mart view and the INTO OUTFILE export) is in mysql/01_schema_mysql.sql and runs unchanged against a real server.</t>
        </is>
      </c>
    </row>
  </sheetData>
  <mergeCells count="11">
    <mergeCell ref="A2:F2"/>
    <mergeCell ref="A11:F11"/>
    <mergeCell ref="A16:F16"/>
    <mergeCell ref="A10:F10"/>
    <mergeCell ref="A13:F13"/>
    <mergeCell ref="A14:F14"/>
    <mergeCell ref="A1:F1"/>
    <mergeCell ref="A9:F9"/>
    <mergeCell ref="A12:F12"/>
    <mergeCell ref="A4:F4"/>
    <mergeCell ref="A26:F26"/>
  </mergeCells>
  <pageMargins left="0.75" right="0.75" top="1" bottom="1" header="0.5" footer="0.5"/>
  <tableParts count="2">
    <tablePart xmlns:r="http://schemas.openxmlformats.org/officeDocument/2006/relationships" r:id="rId1"/>
    <tablePart xmlns:r="http://schemas.openxmlformats.org/officeDocument/2006/relationships" r:id="rId2"/>
  </tableParts>
</worksheet>
</file>

<file path=xl/worksheets/sheet4.xml><?xml version="1.0" encoding="utf-8"?>
<worksheet xmlns="http://schemas.openxmlformats.org/spreadsheetml/2006/main">
  <sheetPr>
    <outlinePr summaryBelow="1" summaryRight="1"/>
    <pageSetUpPr/>
  </sheetPr>
  <dimension ref="A1:T137"/>
  <sheetViews>
    <sheetView showGridLines="0" workbookViewId="0">
      <selection activeCell="A1" sqref="A1"/>
    </sheetView>
  </sheetViews>
  <sheetFormatPr baseColWidth="8" defaultRowHeight="15"/>
  <cols>
    <col width="9"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s>
  <sheetData>
    <row r="1" ht="30" customHeight="1">
      <c r="A1" s="1" t="inlineStr">
        <is>
          <t>Zomato Executive Dashboard</t>
        </is>
      </c>
    </row>
    <row r="2">
      <c r="A2" s="2" t="inlineStr">
        <is>
          <t>15,000 orders | 500 restaurants | 5 cities | Jan-Dec 2024</t>
        </is>
      </c>
    </row>
    <row r="4" ht="18" customHeight="1">
      <c r="A4" s="9" t="inlineStr">
        <is>
          <t>TOTAL REVENUE</t>
        </is>
      </c>
      <c r="B4" s="10" t="n"/>
      <c r="C4" s="10" t="n"/>
      <c r="D4" s="18" t="inlineStr">
        <is>
          <t>TOTAL ORDERS</t>
        </is>
      </c>
      <c r="E4" s="10" t="n"/>
      <c r="F4" s="10" t="n"/>
      <c r="G4" s="11" t="inlineStr">
        <is>
          <t>AVG ORDER VALUE</t>
        </is>
      </c>
      <c r="H4" s="10" t="n"/>
      <c r="I4" s="10" t="n"/>
      <c r="J4" s="18" t="inlineStr">
        <is>
          <t>RESTAURANTS</t>
        </is>
      </c>
      <c r="K4" s="10" t="n"/>
      <c r="L4" s="10" t="n"/>
      <c r="M4" s="12" t="inlineStr">
        <is>
          <t>AVG DELIVERY (MIN)</t>
        </is>
      </c>
      <c r="N4" s="10" t="n"/>
      <c r="O4" s="10" t="n"/>
    </row>
    <row r="5" ht="30" customHeight="1">
      <c r="A5" s="13" t="n">
        <v>15573886.64</v>
      </c>
      <c r="B5" s="10" t="n"/>
      <c r="C5" s="10" t="n"/>
      <c r="D5" s="13" t="n">
        <v>15000</v>
      </c>
      <c r="E5" s="10" t="n"/>
      <c r="F5" s="10" t="n"/>
      <c r="G5" s="13" t="n">
        <v>1038.26</v>
      </c>
      <c r="H5" s="10" t="n"/>
      <c r="I5" s="10" t="n"/>
      <c r="J5" s="13" t="n">
        <v>500</v>
      </c>
      <c r="K5" s="10" t="n"/>
      <c r="L5" s="10" t="n"/>
      <c r="M5" s="19" t="n">
        <v>52.4</v>
      </c>
      <c r="N5" s="10" t="n"/>
      <c r="O5" s="10" t="n"/>
    </row>
    <row r="7" ht="18" customHeight="1">
      <c r="A7" s="12" t="inlineStr">
        <is>
          <t>AVG CUSTOMER RATING</t>
        </is>
      </c>
      <c r="B7" s="10" t="n"/>
      <c r="C7" s="10" t="n"/>
      <c r="D7" s="18" t="inlineStr">
        <is>
          <t>ORDERS / RESTAURANT</t>
        </is>
      </c>
      <c r="E7" s="10" t="n"/>
      <c r="F7" s="10" t="n"/>
      <c r="G7" s="11" t="inlineStr">
        <is>
          <t>H2 vs H1 REVENUE</t>
        </is>
      </c>
      <c r="H7" s="10" t="n"/>
      <c r="I7" s="10" t="n"/>
      <c r="J7" s="20" t="inlineStr">
        <is>
          <t>TOP 10% REV SHARE</t>
        </is>
      </c>
      <c r="K7" s="10" t="n"/>
      <c r="L7" s="10" t="n"/>
      <c r="M7" s="18" t="inlineStr">
        <is>
          <t>ITEMS PER ORDER</t>
        </is>
      </c>
      <c r="N7" s="10" t="n"/>
      <c r="O7" s="10" t="n"/>
    </row>
    <row r="8" ht="30" customHeight="1">
      <c r="A8" s="21" t="n">
        <v>3</v>
      </c>
      <c r="B8" s="10" t="n"/>
      <c r="C8" s="10" t="n"/>
      <c r="D8" s="19" t="n">
        <v>30</v>
      </c>
      <c r="E8" s="10" t="n"/>
      <c r="F8" s="10" t="n"/>
      <c r="G8" s="14" t="n">
        <v>0.19</v>
      </c>
      <c r="H8" s="10" t="n"/>
      <c r="I8" s="10" t="n"/>
      <c r="J8" s="14" t="n">
        <v>13.7</v>
      </c>
      <c r="K8" s="10" t="n"/>
      <c r="L8" s="10" t="n"/>
      <c r="M8" s="21" t="n">
        <v>5.54</v>
      </c>
      <c r="N8" s="10" t="n"/>
      <c r="O8" s="10" t="n"/>
    </row>
    <row r="50" ht="22" customHeight="1">
      <c r="A50" s="3" t="inlineStr">
        <is>
          <t>WHAT THE DASHBOARD IS TELLING LEADERSHIP</t>
        </is>
      </c>
    </row>
    <row r="51" ht="32" customHeight="1">
      <c r="A51" s="22" t="inlineStr">
        <is>
          <t>▶  Demand is a pure function of supply. Correlation between a city's restaurant count and its order count is 0.989, and every city receives 29.4-30.7 orders per restaurant. Mumbai leads on orders only because it has the most restaurants.</t>
        </is>
      </c>
    </row>
    <row r="52" ht="32" customHeight="1">
      <c r="A52" s="22" t="inlineStr">
        <is>
          <t>▶  No segment outperforms. AOV spans just Rs 1,034-1,041 across cities (0.7% spread). All 19 significance tests fail once supply is accounted for.</t>
        </is>
      </c>
    </row>
    <row r="53" ht="32" customHeight="1">
      <c r="A53" s="22" t="inlineStr">
        <is>
          <t>▶  Rating is unpredictable from anything we measure. The strongest correlation with restaurant rating is 0.087 (explaining 0.8% of variance). Faster delivery does not earn a better score.</t>
        </is>
      </c>
    </row>
    <row r="54" ht="32" customHeight="1">
      <c r="A54" s="22" t="inlineStr">
        <is>
          <t>▶  The leaderboard is noise. Order counts per restaurant have sd 5.6 against a Poisson-expected 5.5 - the top-5 ranking is the luckiest draw out of 500, not better operators. Top 10% of restaurants hold only 13.7% of revenue.</t>
        </is>
      </c>
    </row>
    <row r="55" ht="32" customHeight="1">
      <c r="A55" s="22" t="inlineStr">
        <is>
          <t>▶  The one genuinely significant result is the rating gap: published ratings average 3.75 but actual order ratings average 3.00 (t = -68, p &lt; 0.001). This is a definition artefact of the two columns, documented in sheet 07.</t>
        </is>
      </c>
    </row>
    <row r="62">
      <c r="A62" s="23" t="inlineStr">
        <is>
          <t>CHART DATA</t>
        </is>
      </c>
    </row>
    <row r="63">
      <c r="A63" s="24" t="inlineStr">
        <is>
          <t>Orders vs restaurants by city</t>
        </is>
      </c>
    </row>
    <row r="64">
      <c r="A64" s="25" t="inlineStr">
        <is>
          <t>city</t>
        </is>
      </c>
      <c r="B64" s="25" t="inlineStr">
        <is>
          <t>orders</t>
        </is>
      </c>
      <c r="C64" s="25" t="inlineStr">
        <is>
          <t>restaurants</t>
        </is>
      </c>
    </row>
    <row r="65">
      <c r="A65" t="inlineStr">
        <is>
          <t>Mumbai</t>
        </is>
      </c>
      <c r="B65" t="n">
        <v>3384</v>
      </c>
      <c r="C65" t="n">
        <v>115</v>
      </c>
    </row>
    <row r="66">
      <c r="A66" t="inlineStr">
        <is>
          <t>Bangalore</t>
        </is>
      </c>
      <c r="B66" t="n">
        <v>3300</v>
      </c>
      <c r="C66" t="n">
        <v>109</v>
      </c>
    </row>
    <row r="67">
      <c r="A67" t="inlineStr">
        <is>
          <t>Delhi</t>
        </is>
      </c>
      <c r="B67" t="n">
        <v>2857</v>
      </c>
      <c r="C67" t="n">
        <v>93</v>
      </c>
    </row>
    <row r="68">
      <c r="A68" t="inlineStr">
        <is>
          <t>Kolkata</t>
        </is>
      </c>
      <c r="B68" t="n">
        <v>2732</v>
      </c>
      <c r="C68" t="n">
        <v>92</v>
      </c>
    </row>
    <row r="69">
      <c r="A69" t="inlineStr">
        <is>
          <t>Chennai</t>
        </is>
      </c>
      <c r="B69" t="n">
        <v>2727</v>
      </c>
      <c r="C69" t="n">
        <v>91</v>
      </c>
    </row>
    <row r="71">
      <c r="A71" s="24" t="inlineStr">
        <is>
          <t>Demand/supply index</t>
        </is>
      </c>
    </row>
    <row r="72">
      <c r="A72" s="25" t="inlineStr">
        <is>
          <t>city</t>
        </is>
      </c>
      <c r="B72" s="25" t="inlineStr">
        <is>
          <t>demand_supply_index</t>
        </is>
      </c>
    </row>
    <row r="73">
      <c r="A73" t="inlineStr">
        <is>
          <t>Mumbai</t>
        </is>
      </c>
      <c r="B73" t="n">
        <v>0.981</v>
      </c>
    </row>
    <row r="74">
      <c r="A74" t="inlineStr">
        <is>
          <t>Bangalore</t>
        </is>
      </c>
      <c r="B74" t="n">
        <v>1.009</v>
      </c>
    </row>
    <row r="75">
      <c r="A75" t="inlineStr">
        <is>
          <t>Delhi</t>
        </is>
      </c>
      <c r="B75" t="n">
        <v>1.024</v>
      </c>
    </row>
    <row r="76">
      <c r="A76" t="inlineStr">
        <is>
          <t>Kolkata</t>
        </is>
      </c>
      <c r="B76" t="n">
        <v>0.99</v>
      </c>
    </row>
    <row r="77">
      <c r="A77" t="inlineStr">
        <is>
          <t>Chennai</t>
        </is>
      </c>
      <c r="B77" t="n">
        <v>0.999</v>
      </c>
    </row>
    <row r="79">
      <c r="A79" s="24" t="inlineStr">
        <is>
          <t>Monthly trend</t>
        </is>
      </c>
    </row>
    <row r="80">
      <c r="A80" s="25" t="inlineStr">
        <is>
          <t>order_month</t>
        </is>
      </c>
      <c r="B80" s="25" t="inlineStr">
        <is>
          <t>revenue</t>
        </is>
      </c>
      <c r="C80" s="25" t="inlineStr">
        <is>
          <t>avg_order_value</t>
        </is>
      </c>
    </row>
    <row r="81">
      <c r="A81" t="inlineStr">
        <is>
          <t>2024-01</t>
        </is>
      </c>
      <c r="B81" t="n">
        <v>1267809.14</v>
      </c>
      <c r="C81" t="n">
        <v>1044.32</v>
      </c>
    </row>
    <row r="82">
      <c r="A82" t="inlineStr">
        <is>
          <t>2024-02</t>
        </is>
      </c>
      <c r="B82" t="n">
        <v>1325913.58</v>
      </c>
      <c r="C82" t="n">
        <v>1044.85</v>
      </c>
    </row>
    <row r="83">
      <c r="A83" t="inlineStr">
        <is>
          <t>2024-03</t>
        </is>
      </c>
      <c r="B83" t="n">
        <v>1283324.96</v>
      </c>
      <c r="C83" t="n">
        <v>1033.27</v>
      </c>
    </row>
    <row r="84">
      <c r="A84" t="inlineStr">
        <is>
          <t>2024-04</t>
        </is>
      </c>
      <c r="B84" t="n">
        <v>1376119.8</v>
      </c>
      <c r="C84" t="n">
        <v>1043.31</v>
      </c>
    </row>
    <row r="85">
      <c r="A85" t="inlineStr">
        <is>
          <t>2024-05</t>
        </is>
      </c>
      <c r="B85" t="n">
        <v>1265695.48</v>
      </c>
      <c r="C85" t="n">
        <v>1018.26</v>
      </c>
    </row>
    <row r="86">
      <c r="A86" t="inlineStr">
        <is>
          <t>2024-06</t>
        </is>
      </c>
      <c r="B86" t="n">
        <v>1260616.9</v>
      </c>
      <c r="C86" t="n">
        <v>1030.76</v>
      </c>
    </row>
    <row r="87">
      <c r="A87" t="inlineStr">
        <is>
          <t>2024-07</t>
        </is>
      </c>
      <c r="B87" t="n">
        <v>1310331.73</v>
      </c>
      <c r="C87" t="n">
        <v>1051.63</v>
      </c>
    </row>
    <row r="88">
      <c r="A88" t="inlineStr">
        <is>
          <t>2024-08</t>
        </is>
      </c>
      <c r="B88" t="n">
        <v>1320378.28</v>
      </c>
      <c r="C88" t="n">
        <v>1031.55</v>
      </c>
    </row>
    <row r="89">
      <c r="A89" t="inlineStr">
        <is>
          <t>2024-09</t>
        </is>
      </c>
      <c r="B89" t="n">
        <v>1298081.43</v>
      </c>
      <c r="C89" t="n">
        <v>1041.8</v>
      </c>
    </row>
    <row r="90">
      <c r="A90" t="inlineStr">
        <is>
          <t>2024-10</t>
        </is>
      </c>
      <c r="B90" t="n">
        <v>1307375.28</v>
      </c>
      <c r="C90" t="n">
        <v>1068.12</v>
      </c>
    </row>
    <row r="91">
      <c r="A91" t="inlineStr">
        <is>
          <t>2024-11</t>
        </is>
      </c>
      <c r="B91" t="n">
        <v>1278333.92</v>
      </c>
      <c r="C91" t="n">
        <v>1025.95</v>
      </c>
    </row>
    <row r="92">
      <c r="A92" t="inlineStr">
        <is>
          <t>2024-12</t>
        </is>
      </c>
      <c r="B92" t="n">
        <v>1279906.14</v>
      </c>
      <c r="C92" t="n">
        <v>1025.57</v>
      </c>
    </row>
    <row r="94">
      <c r="A94" s="24" t="inlineStr">
        <is>
          <t>Hourly demand</t>
        </is>
      </c>
    </row>
    <row r="95">
      <c r="A95" s="25" t="inlineStr">
        <is>
          <t>order_hour</t>
        </is>
      </c>
      <c r="B95" s="25" t="inlineStr">
        <is>
          <t>orders</t>
        </is>
      </c>
    </row>
    <row r="96">
      <c r="A96" t="n">
        <v>0</v>
      </c>
      <c r="B96" t="n">
        <v>695</v>
      </c>
    </row>
    <row r="97">
      <c r="A97" t="n">
        <v>1</v>
      </c>
      <c r="B97" t="n">
        <v>605</v>
      </c>
    </row>
    <row r="98">
      <c r="A98" t="n">
        <v>2</v>
      </c>
      <c r="B98" t="n">
        <v>650</v>
      </c>
    </row>
    <row r="99">
      <c r="A99" t="n">
        <v>3</v>
      </c>
      <c r="B99" t="n">
        <v>633</v>
      </c>
    </row>
    <row r="100">
      <c r="A100" t="n">
        <v>4</v>
      </c>
      <c r="B100" t="n">
        <v>590</v>
      </c>
    </row>
    <row r="101">
      <c r="A101" t="n">
        <v>5</v>
      </c>
      <c r="B101" t="n">
        <v>664</v>
      </c>
    </row>
    <row r="102">
      <c r="A102" t="n">
        <v>6</v>
      </c>
      <c r="B102" t="n">
        <v>646</v>
      </c>
    </row>
    <row r="103">
      <c r="A103" t="n">
        <v>7</v>
      </c>
      <c r="B103" t="n">
        <v>628</v>
      </c>
    </row>
    <row r="104">
      <c r="A104" t="n">
        <v>8</v>
      </c>
      <c r="B104" t="n">
        <v>627</v>
      </c>
    </row>
    <row r="105">
      <c r="A105" t="n">
        <v>9</v>
      </c>
      <c r="B105" t="n">
        <v>655</v>
      </c>
    </row>
    <row r="106">
      <c r="A106" t="n">
        <v>10</v>
      </c>
      <c r="B106" t="n">
        <v>607</v>
      </c>
    </row>
    <row r="107">
      <c r="A107" t="n">
        <v>11</v>
      </c>
      <c r="B107" t="n">
        <v>610</v>
      </c>
    </row>
    <row r="108">
      <c r="A108" t="n">
        <v>12</v>
      </c>
      <c r="B108" t="n">
        <v>624</v>
      </c>
    </row>
    <row r="109">
      <c r="A109" t="n">
        <v>13</v>
      </c>
      <c r="B109" t="n">
        <v>623</v>
      </c>
    </row>
    <row r="110">
      <c r="A110" t="n">
        <v>14</v>
      </c>
      <c r="B110" t="n">
        <v>606</v>
      </c>
    </row>
    <row r="111">
      <c r="A111" t="n">
        <v>15</v>
      </c>
      <c r="B111" t="n">
        <v>570</v>
      </c>
    </row>
    <row r="112">
      <c r="A112" t="n">
        <v>16</v>
      </c>
      <c r="B112" t="n">
        <v>615</v>
      </c>
    </row>
    <row r="113">
      <c r="A113" t="n">
        <v>17</v>
      </c>
      <c r="B113" t="n">
        <v>578</v>
      </c>
    </row>
    <row r="114">
      <c r="A114" t="n">
        <v>18</v>
      </c>
      <c r="B114" t="n">
        <v>663</v>
      </c>
    </row>
    <row r="115">
      <c r="A115" t="n">
        <v>19</v>
      </c>
      <c r="B115" t="n">
        <v>625</v>
      </c>
    </row>
    <row r="116">
      <c r="A116" t="n">
        <v>20</v>
      </c>
      <c r="B116" t="n">
        <v>626</v>
      </c>
    </row>
    <row r="117">
      <c r="A117" t="n">
        <v>21</v>
      </c>
      <c r="B117" t="n">
        <v>621</v>
      </c>
    </row>
    <row r="118">
      <c r="A118" t="n">
        <v>22</v>
      </c>
      <c r="B118" t="n">
        <v>628</v>
      </c>
    </row>
    <row r="119">
      <c r="A119" t="n">
        <v>23</v>
      </c>
      <c r="B119" t="n">
        <v>611</v>
      </c>
    </row>
    <row r="121">
      <c r="A121" s="24" t="inlineStr">
        <is>
          <t>Cuisine</t>
        </is>
      </c>
    </row>
    <row r="122">
      <c r="A122" s="25" t="inlineStr">
        <is>
          <t>cuisine</t>
        </is>
      </c>
      <c r="B122" s="25" t="inlineStr">
        <is>
          <t>revenue</t>
        </is>
      </c>
      <c r="C122" s="25" t="inlineStr">
        <is>
          <t>orders_per_restaurant</t>
        </is>
      </c>
    </row>
    <row r="123">
      <c r="A123" t="inlineStr">
        <is>
          <t>Thai</t>
        </is>
      </c>
      <c r="B123" t="n">
        <v>3430538.66</v>
      </c>
      <c r="C123" t="n">
        <v>30.25</v>
      </c>
    </row>
    <row r="124">
      <c r="A124" t="inlineStr">
        <is>
          <t>Italian</t>
        </is>
      </c>
      <c r="B124" t="n">
        <v>3226915.61</v>
      </c>
      <c r="C124" t="n">
        <v>30.43</v>
      </c>
    </row>
    <row r="125">
      <c r="A125" t="inlineStr">
        <is>
          <t>Indian</t>
        </is>
      </c>
      <c r="B125" t="n">
        <v>3146671.25</v>
      </c>
      <c r="C125" t="n">
        <v>30.08</v>
      </c>
    </row>
    <row r="126">
      <c r="A126" t="inlineStr">
        <is>
          <t>Mexican</t>
        </is>
      </c>
      <c r="B126" t="n">
        <v>3134943.2</v>
      </c>
      <c r="C126" t="n">
        <v>29.81</v>
      </c>
    </row>
    <row r="127">
      <c r="A127" t="inlineStr">
        <is>
          <t>Chinese</t>
        </is>
      </c>
      <c r="B127" t="n">
        <v>2634817.92</v>
      </c>
      <c r="C127" t="n">
        <v>29.31</v>
      </c>
    </row>
    <row r="129">
      <c r="A129" s="24" t="inlineStr">
        <is>
          <t>Rating correlations</t>
        </is>
      </c>
    </row>
    <row r="130">
      <c r="A130" s="25" t="inlineStr">
        <is>
          <t>factor</t>
        </is>
      </c>
      <c r="B130" s="25" t="inlineStr">
        <is>
          <t>pearson_r</t>
        </is>
      </c>
    </row>
    <row r="131">
      <c r="A131" t="inlineStr">
        <is>
          <t>Customer rating given</t>
        </is>
      </c>
      <c r="B131" t="n">
        <v>0.0872</v>
      </c>
    </row>
    <row r="132">
      <c r="A132" t="inlineStr">
        <is>
          <t>Avg order value</t>
        </is>
      </c>
      <c r="B132" t="n">
        <v>-0.0467</v>
      </c>
    </row>
    <row r="133">
      <c r="A133" t="inlineStr">
        <is>
          <t>Total ratings count</t>
        </is>
      </c>
      <c r="B133" t="n">
        <v>-0.0333</v>
      </c>
    </row>
    <row r="134">
      <c r="A134" t="inlineStr">
        <is>
          <t>Orders received</t>
        </is>
      </c>
      <c r="B134" t="n">
        <v>0.0308</v>
      </c>
    </row>
    <row r="135">
      <c r="A135" t="inlineStr">
        <is>
          <t>Items per order</t>
        </is>
      </c>
      <c r="B135" t="n">
        <v>-0.0156</v>
      </c>
    </row>
    <row r="136">
      <c r="A136" t="inlineStr">
        <is>
          <t>Avg delivery time</t>
        </is>
      </c>
      <c r="B136" t="n">
        <v>-0.0053</v>
      </c>
    </row>
    <row r="137">
      <c r="A137" t="inlineStr">
        <is>
          <t>Total revenue</t>
        </is>
      </c>
      <c r="B137" t="n">
        <v>0.0027</v>
      </c>
    </row>
  </sheetData>
  <mergeCells count="28">
    <mergeCell ref="M7:O7"/>
    <mergeCell ref="J4:L4"/>
    <mergeCell ref="A51:T51"/>
    <mergeCell ref="D7:F7"/>
    <mergeCell ref="A1:T1"/>
    <mergeCell ref="J7:L7"/>
    <mergeCell ref="A5:C5"/>
    <mergeCell ref="G5:I5"/>
    <mergeCell ref="A8:C8"/>
    <mergeCell ref="D4:F4"/>
    <mergeCell ref="G4:I4"/>
    <mergeCell ref="M8:O8"/>
    <mergeCell ref="A54:T54"/>
    <mergeCell ref="D8:F8"/>
    <mergeCell ref="A4:C4"/>
    <mergeCell ref="D5:F5"/>
    <mergeCell ref="A50:T50"/>
    <mergeCell ref="M4:O4"/>
    <mergeCell ref="A55:T55"/>
    <mergeCell ref="J8:L8"/>
    <mergeCell ref="A2:T2"/>
    <mergeCell ref="J5:L5"/>
    <mergeCell ref="M5:O5"/>
    <mergeCell ref="A53:T53"/>
    <mergeCell ref="G8:I8"/>
    <mergeCell ref="A52:T52"/>
    <mergeCell ref="A7:C7"/>
    <mergeCell ref="G7:I7"/>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I41"/>
  <sheetViews>
    <sheetView showGridLines="0" workbookViewId="0">
      <selection activeCell="A1" sqref="A1"/>
    </sheetView>
  </sheetViews>
  <sheetFormatPr baseColWidth="8" defaultRowHeight="15"/>
  <cols>
    <col width="34" customWidth="1" min="1" max="1"/>
    <col width="27" customWidth="1" min="2" max="2"/>
    <col width="34" customWidth="1" min="3" max="3"/>
    <col width="12" customWidth="1" min="4" max="4"/>
    <col width="34" customWidth="1" min="5" max="5"/>
    <col width="15" customWidth="1" min="6" max="6"/>
    <col width="21" customWidth="1" min="7" max="7"/>
    <col width="17" customWidth="1" min="8" max="8"/>
    <col width="34" customWidth="1" min="9" max="9"/>
  </cols>
  <sheetData>
    <row r="1" ht="30" customHeight="1">
      <c r="A1" s="1" t="inlineStr">
        <is>
          <t>Significance Testing - the credibility layer</t>
        </is>
      </c>
    </row>
    <row r="2">
      <c r="A2" s="2" t="inlineStr">
        <is>
          <t>With 15,000 rows a 2% gap between cities is indistinguishable from sampling noise. Every claim in the deck passes through here first.</t>
        </is>
      </c>
    </row>
    <row r="3"/>
    <row r="4" ht="18" customHeight="1">
      <c r="A4" s="9" t="inlineStr">
        <is>
          <t>TESTS RUN</t>
        </is>
      </c>
      <c r="B4" s="10" t="n"/>
      <c r="C4" s="12" t="inlineStr">
        <is>
          <t>SIGNIFICANT VS EVEN SPLIT</t>
        </is>
      </c>
      <c r="D4" s="10" t="n"/>
      <c r="E4" s="20" t="inlineStr">
        <is>
          <t>STILL SIGNIFICANT AFTER SUPPLY ADJUSTMENT</t>
        </is>
      </c>
      <c r="F4" s="10" t="n"/>
      <c r="G4" s="20" t="inlineStr">
        <is>
          <t>ANOVA TESTS PASSED</t>
        </is>
      </c>
      <c r="H4" s="10" t="n"/>
    </row>
    <row r="5" ht="30" customHeight="1">
      <c r="A5" s="13" t="n">
        <v>19</v>
      </c>
      <c r="B5" s="10" t="n"/>
      <c r="C5" s="13" t="n">
        <v>4</v>
      </c>
      <c r="D5" s="10" t="n"/>
      <c r="E5" s="13" t="n">
        <v>0</v>
      </c>
      <c r="F5" s="10" t="n"/>
      <c r="G5" s="13" t="n">
        <v>0</v>
      </c>
      <c r="H5" s="10" t="n"/>
    </row>
    <row r="6"/>
    <row r="7" ht="22" customHeight="1">
      <c r="A7" s="3" t="inlineStr">
        <is>
          <t>ALL 19 TESTS</t>
        </is>
      </c>
    </row>
    <row r="8" ht="28" customHeight="1">
      <c r="A8" s="5" t="inlineStr">
        <is>
          <t>Test</t>
        </is>
      </c>
      <c r="B8" s="5" t="inlineStr">
        <is>
          <t>Dimension</t>
        </is>
      </c>
      <c r="C8" s="5" t="inlineStr">
        <is>
          <t>df</t>
        </is>
      </c>
      <c r="D8" s="5" t="inlineStr">
        <is>
          <t>Statistic</t>
        </is>
      </c>
      <c r="E8" s="5" t="inlineStr">
        <is>
          <t>Critical (0.05)</t>
        </is>
      </c>
      <c r="F8" s="5" t="inlineStr">
        <is>
          <t>Significant?</t>
        </is>
      </c>
      <c r="G8" s="5" t="inlineStr">
        <is>
          <t>Stat vs supply</t>
        </is>
      </c>
      <c r="H8" s="5" t="inlineStr">
        <is>
          <t>Sig vs supply?</t>
        </is>
      </c>
      <c r="I8" s="5" t="inlineStr">
        <is>
          <t>Verdict</t>
        </is>
      </c>
    </row>
    <row r="9">
      <c r="A9" s="6" t="inlineStr">
        <is>
          <t>Chi-square: order counts</t>
        </is>
      </c>
      <c r="B9" s="6" t="inlineStr">
        <is>
          <t>city</t>
        </is>
      </c>
      <c r="C9" s="6" t="n">
        <v>4</v>
      </c>
      <c r="D9" s="26" t="n">
        <v>134.75</v>
      </c>
      <c r="E9" s="26" t="n">
        <v>9.488</v>
      </c>
      <c r="F9" s="6" t="b">
        <v>1</v>
      </c>
      <c r="G9" s="26" t="n">
        <v>3.43</v>
      </c>
      <c r="H9" s="6" t="b">
        <v>0</v>
      </c>
      <c r="I9" s="6" t="inlineStr">
        <is>
          <t>Uneven, but fully explained by how many restaurants each city has</t>
        </is>
      </c>
    </row>
    <row r="10">
      <c r="A10" s="6" t="inlineStr">
        <is>
          <t>Chi-square: order counts</t>
        </is>
      </c>
      <c r="B10" s="6" t="inlineStr">
        <is>
          <t>cuisine</t>
        </is>
      </c>
      <c r="C10" s="6" t="n">
        <v>4</v>
      </c>
      <c r="D10" s="26" t="n">
        <v>96.45</v>
      </c>
      <c r="E10" s="26" t="n">
        <v>9.488</v>
      </c>
      <c r="F10" s="6" t="b">
        <v>1</v>
      </c>
      <c r="G10" s="26" t="n">
        <v>2.38</v>
      </c>
      <c r="H10" s="6" t="b">
        <v>0</v>
      </c>
      <c r="I10" s="6" t="inlineStr">
        <is>
          <t>Uneven, but fully explained by how many restaurants each cuisine has</t>
        </is>
      </c>
    </row>
    <row r="11">
      <c r="A11" s="6" t="inlineStr">
        <is>
          <t>Chi-square: order counts</t>
        </is>
      </c>
      <c r="B11" s="6" t="inlineStr">
        <is>
          <t>area</t>
        </is>
      </c>
      <c r="C11" s="6" t="n">
        <v>4</v>
      </c>
      <c r="D11" s="26" t="n">
        <v>44.55</v>
      </c>
      <c r="E11" s="26" t="n">
        <v>9.488</v>
      </c>
      <c r="F11" s="6" t="b">
        <v>1</v>
      </c>
      <c r="G11" s="26" t="n">
        <v>1.9</v>
      </c>
      <c r="H11" s="6" t="b">
        <v>0</v>
      </c>
      <c r="I11" s="6" t="inlineStr">
        <is>
          <t>Uneven, but fully explained by how many restaurants each area has</t>
        </is>
      </c>
    </row>
    <row r="12">
      <c r="A12" s="6" t="inlineStr">
        <is>
          <t>Chi-square: order counts</t>
        </is>
      </c>
      <c r="B12" s="6" t="inlineStr">
        <is>
          <t>price_range</t>
        </is>
      </c>
      <c r="C12" s="6" t="n">
        <v>2</v>
      </c>
      <c r="D12" s="26" t="n">
        <v>50.59</v>
      </c>
      <c r="E12" s="26" t="n">
        <v>5.991</v>
      </c>
      <c r="F12" s="6" t="b">
        <v>1</v>
      </c>
      <c r="G12" s="26" t="n">
        <v>4.69</v>
      </c>
      <c r="H12" s="6" t="b">
        <v>0</v>
      </c>
      <c r="I12" s="6" t="inlineStr">
        <is>
          <t>Uneven, but fully explained by how many restaurants each price_range has</t>
        </is>
      </c>
    </row>
    <row r="13">
      <c r="A13" s="6" t="inlineStr">
        <is>
          <t>ANOVA: mean total_cost</t>
        </is>
      </c>
      <c r="B13" s="6" t="inlineStr">
        <is>
          <t>city</t>
        </is>
      </c>
      <c r="C13" s="6" t="n">
        <v>4</v>
      </c>
      <c r="D13" s="26" t="n">
        <v>0.097</v>
      </c>
      <c r="E13" s="26" t="n">
        <v>2.37</v>
      </c>
      <c r="F13" s="6" t="b">
        <v>0</v>
      </c>
      <c r="G13" s="26" t="n">
        <v/>
      </c>
      <c r="H13" s="6" t="n">
        <v/>
      </c>
      <c r="I13" s="6" t="inlineStr">
        <is>
          <t>No detectable difference between segments</t>
        </is>
      </c>
    </row>
    <row r="14">
      <c r="A14" s="6" t="inlineStr">
        <is>
          <t>ANOVA: mean total_cost</t>
        </is>
      </c>
      <c r="B14" s="6" t="inlineStr">
        <is>
          <t>cuisine</t>
        </is>
      </c>
      <c r="C14" s="6" t="n">
        <v>4</v>
      </c>
      <c r="D14" s="26" t="n">
        <v>0.851</v>
      </c>
      <c r="E14" s="26" t="n">
        <v>2.37</v>
      </c>
      <c r="F14" s="6" t="b">
        <v>0</v>
      </c>
      <c r="G14" s="26" t="n">
        <v/>
      </c>
      <c r="H14" s="6" t="n">
        <v/>
      </c>
      <c r="I14" s="6" t="inlineStr">
        <is>
          <t>No detectable difference between segments</t>
        </is>
      </c>
    </row>
    <row r="15">
      <c r="A15" s="6" t="inlineStr">
        <is>
          <t>ANOVA: mean total_cost</t>
        </is>
      </c>
      <c r="B15" s="6" t="inlineStr">
        <is>
          <t>area</t>
        </is>
      </c>
      <c r="C15" s="6" t="n">
        <v>4</v>
      </c>
      <c r="D15" s="26" t="n">
        <v>0.479</v>
      </c>
      <c r="E15" s="26" t="n">
        <v>2.37</v>
      </c>
      <c r="F15" s="6" t="b">
        <v>0</v>
      </c>
      <c r="G15" s="26" t="n">
        <v/>
      </c>
      <c r="H15" s="6" t="n">
        <v/>
      </c>
      <c r="I15" s="6" t="inlineStr">
        <is>
          <t>No detectable difference between segments</t>
        </is>
      </c>
    </row>
    <row r="16">
      <c r="A16" s="6" t="inlineStr">
        <is>
          <t>ANOVA: mean total_cost</t>
        </is>
      </c>
      <c r="B16" s="6" t="inlineStr">
        <is>
          <t>price_range</t>
        </is>
      </c>
      <c r="C16" s="6" t="n">
        <v>2</v>
      </c>
      <c r="D16" s="26" t="n">
        <v>0.137</v>
      </c>
      <c r="E16" s="26" t="n">
        <v>3</v>
      </c>
      <c r="F16" s="6" t="b">
        <v>0</v>
      </c>
      <c r="G16" s="26" t="n">
        <v/>
      </c>
      <c r="H16" s="6" t="n">
        <v/>
      </c>
      <c r="I16" s="6" t="inlineStr">
        <is>
          <t>No detectable difference between segments</t>
        </is>
      </c>
    </row>
    <row r="17">
      <c r="A17" s="6" t="inlineStr">
        <is>
          <t>ANOVA: mean total_cost</t>
        </is>
      </c>
      <c r="B17" s="6" t="inlineStr">
        <is>
          <t>payment_method</t>
        </is>
      </c>
      <c r="C17" s="6" t="n">
        <v>4</v>
      </c>
      <c r="D17" s="26" t="n">
        <v>0.171</v>
      </c>
      <c r="E17" s="26" t="n">
        <v>2.37</v>
      </c>
      <c r="F17" s="6" t="b">
        <v>0</v>
      </c>
      <c r="G17" s="26" t="n">
        <v/>
      </c>
      <c r="H17" s="6" t="n">
        <v/>
      </c>
      <c r="I17" s="6" t="inlineStr">
        <is>
          <t>No detectable difference between segments</t>
        </is>
      </c>
    </row>
    <row r="18">
      <c r="A18" s="6" t="inlineStr">
        <is>
          <t>ANOVA: mean customer_rating</t>
        </is>
      </c>
      <c r="B18" s="6" t="inlineStr">
        <is>
          <t>city</t>
        </is>
      </c>
      <c r="C18" s="6" t="n">
        <v>4</v>
      </c>
      <c r="D18" s="26" t="n">
        <v>0.648</v>
      </c>
      <c r="E18" s="26" t="n">
        <v>2.37</v>
      </c>
      <c r="F18" s="6" t="b">
        <v>0</v>
      </c>
      <c r="G18" s="26" t="n">
        <v/>
      </c>
      <c r="H18" s="6" t="n">
        <v/>
      </c>
      <c r="I18" s="6" t="inlineStr">
        <is>
          <t>No detectable difference between segments</t>
        </is>
      </c>
    </row>
    <row r="19">
      <c r="A19" s="6" t="inlineStr">
        <is>
          <t>ANOVA: mean customer_rating</t>
        </is>
      </c>
      <c r="B19" s="6" t="inlineStr">
        <is>
          <t>cuisine</t>
        </is>
      </c>
      <c r="C19" s="6" t="n">
        <v>4</v>
      </c>
      <c r="D19" s="26" t="n">
        <v>0.321</v>
      </c>
      <c r="E19" s="26" t="n">
        <v>2.37</v>
      </c>
      <c r="F19" s="6" t="b">
        <v>0</v>
      </c>
      <c r="G19" s="26" t="n">
        <v/>
      </c>
      <c r="H19" s="6" t="n">
        <v/>
      </c>
      <c r="I19" s="6" t="inlineStr">
        <is>
          <t>No detectable difference between segments</t>
        </is>
      </c>
    </row>
    <row r="20">
      <c r="A20" s="6" t="inlineStr">
        <is>
          <t>ANOVA: mean customer_rating</t>
        </is>
      </c>
      <c r="B20" s="6" t="inlineStr">
        <is>
          <t>area</t>
        </is>
      </c>
      <c r="C20" s="6" t="n">
        <v>4</v>
      </c>
      <c r="D20" s="26" t="n">
        <v>2.21</v>
      </c>
      <c r="E20" s="26" t="n">
        <v>2.37</v>
      </c>
      <c r="F20" s="6" t="b">
        <v>0</v>
      </c>
      <c r="G20" s="26" t="n">
        <v/>
      </c>
      <c r="H20" s="6" t="n">
        <v/>
      </c>
      <c r="I20" s="6" t="inlineStr">
        <is>
          <t>No detectable difference between segments</t>
        </is>
      </c>
    </row>
    <row r="21">
      <c r="A21" s="6" t="inlineStr">
        <is>
          <t>ANOVA: mean customer_rating</t>
        </is>
      </c>
      <c r="B21" s="6" t="inlineStr">
        <is>
          <t>price_range</t>
        </is>
      </c>
      <c r="C21" s="6" t="n">
        <v>2</v>
      </c>
      <c r="D21" s="26" t="n">
        <v>2.567</v>
      </c>
      <c r="E21" s="26" t="n">
        <v>3</v>
      </c>
      <c r="F21" s="6" t="b">
        <v>0</v>
      </c>
      <c r="G21" s="26" t="n">
        <v/>
      </c>
      <c r="H21" s="6" t="n">
        <v/>
      </c>
      <c r="I21" s="6" t="inlineStr">
        <is>
          <t>No detectable difference between segments</t>
        </is>
      </c>
    </row>
    <row r="22">
      <c r="A22" s="6" t="inlineStr">
        <is>
          <t>ANOVA: mean customer_rating</t>
        </is>
      </c>
      <c r="B22" s="6" t="inlineStr">
        <is>
          <t>payment_method</t>
        </is>
      </c>
      <c r="C22" s="6" t="n">
        <v>4</v>
      </c>
      <c r="D22" s="26" t="n">
        <v>1.014</v>
      </c>
      <c r="E22" s="26" t="n">
        <v>2.37</v>
      </c>
      <c r="F22" s="6" t="b">
        <v>0</v>
      </c>
      <c r="G22" s="26" t="n">
        <v/>
      </c>
      <c r="H22" s="6" t="n">
        <v/>
      </c>
      <c r="I22" s="6" t="inlineStr">
        <is>
          <t>No detectable difference between segments</t>
        </is>
      </c>
    </row>
    <row r="23">
      <c r="A23" s="6" t="inlineStr">
        <is>
          <t>ANOVA: mean delivery_time</t>
        </is>
      </c>
      <c r="B23" s="6" t="inlineStr">
        <is>
          <t>city</t>
        </is>
      </c>
      <c r="C23" s="6" t="n">
        <v>4</v>
      </c>
      <c r="D23" s="26" t="n">
        <v>0.771</v>
      </c>
      <c r="E23" s="26" t="n">
        <v>2.37</v>
      </c>
      <c r="F23" s="6" t="b">
        <v>0</v>
      </c>
      <c r="G23" s="26" t="n">
        <v/>
      </c>
      <c r="H23" s="6" t="n">
        <v/>
      </c>
      <c r="I23" s="6" t="inlineStr">
        <is>
          <t>No detectable difference between segments</t>
        </is>
      </c>
    </row>
    <row r="24">
      <c r="A24" s="6" t="inlineStr">
        <is>
          <t>ANOVA: mean delivery_time</t>
        </is>
      </c>
      <c r="B24" s="6" t="inlineStr">
        <is>
          <t>cuisine</t>
        </is>
      </c>
      <c r="C24" s="6" t="n">
        <v>4</v>
      </c>
      <c r="D24" s="26" t="n">
        <v>0.311</v>
      </c>
      <c r="E24" s="26" t="n">
        <v>2.37</v>
      </c>
      <c r="F24" s="6" t="b">
        <v>0</v>
      </c>
      <c r="G24" s="26" t="n">
        <v/>
      </c>
      <c r="H24" s="6" t="n">
        <v/>
      </c>
      <c r="I24" s="6" t="inlineStr">
        <is>
          <t>No detectable difference between segments</t>
        </is>
      </c>
    </row>
    <row r="25">
      <c r="A25" s="6" t="inlineStr">
        <is>
          <t>ANOVA: mean delivery_time</t>
        </is>
      </c>
      <c r="B25" s="6" t="inlineStr">
        <is>
          <t>area</t>
        </is>
      </c>
      <c r="C25" s="6" t="n">
        <v>4</v>
      </c>
      <c r="D25" s="26" t="n">
        <v>0.798</v>
      </c>
      <c r="E25" s="26" t="n">
        <v>2.37</v>
      </c>
      <c r="F25" s="6" t="b">
        <v>0</v>
      </c>
      <c r="G25" s="26" t="n">
        <v/>
      </c>
      <c r="H25" s="6" t="n">
        <v/>
      </c>
      <c r="I25" s="6" t="inlineStr">
        <is>
          <t>No detectable difference between segments</t>
        </is>
      </c>
    </row>
    <row r="26">
      <c r="A26" s="6" t="inlineStr">
        <is>
          <t>ANOVA: mean delivery_time</t>
        </is>
      </c>
      <c r="B26" s="6" t="inlineStr">
        <is>
          <t>price_range</t>
        </is>
      </c>
      <c r="C26" s="6" t="n">
        <v>2</v>
      </c>
      <c r="D26" s="26" t="n">
        <v>0.09</v>
      </c>
      <c r="E26" s="26" t="n">
        <v>3</v>
      </c>
      <c r="F26" s="6" t="b">
        <v>0</v>
      </c>
      <c r="G26" s="26" t="n">
        <v/>
      </c>
      <c r="H26" s="6" t="n">
        <v/>
      </c>
      <c r="I26" s="6" t="inlineStr">
        <is>
          <t>No detectable difference between segments</t>
        </is>
      </c>
    </row>
    <row r="27">
      <c r="A27" s="6" t="inlineStr">
        <is>
          <t>ANOVA: mean delivery_time</t>
        </is>
      </c>
      <c r="B27" s="6" t="inlineStr">
        <is>
          <t>payment_method</t>
        </is>
      </c>
      <c r="C27" s="6" t="n">
        <v>4</v>
      </c>
      <c r="D27" s="26" t="n">
        <v>0.37</v>
      </c>
      <c r="E27" s="26" t="n">
        <v>2.37</v>
      </c>
      <c r="F27" s="6" t="b">
        <v>0</v>
      </c>
      <c r="G27" s="26" t="n">
        <v/>
      </c>
      <c r="H27" s="6" t="n">
        <v/>
      </c>
      <c r="I27" s="6" t="inlineStr">
        <is>
          <t>No detectable difference between segments</t>
        </is>
      </c>
    </row>
    <row r="28"/>
    <row r="29" ht="22" customHeight="1">
      <c r="A29" s="3" t="inlineStr">
        <is>
          <t>HOW TO READ THIS</t>
        </is>
      </c>
    </row>
    <row r="30">
      <c r="A30" s="8" t="inlineStr">
        <is>
          <t>Chi-square tests compare observed order counts against two benchmarks. The first is an even split, which four dimensions beat - that is the result a naive dashboard would report. The second benchmark is proportional to each segment's restaurant count, and NONE of the four survive it. In other words the 'city insight' was only ever a restaurant-count insight. ANOVA tests ask whether mean order value, rating or delivery time differ by segment - all 15 fail, so no segment commands a higher basket or better service.</t>
        </is>
      </c>
    </row>
    <row r="31"/>
    <row r="32"/>
    <row r="33"/>
    <row r="34" ht="22" customHeight="1">
      <c r="A34" s="3" t="inlineStr">
        <is>
          <t>THE ONE TEST THAT DOES PASS</t>
        </is>
      </c>
    </row>
    <row r="35" ht="28" customHeight="1">
      <c r="A35" s="27" t="inlineStr">
        <is>
          <t>Measure</t>
        </is>
      </c>
      <c r="B35" s="27" t="inlineStr">
        <is>
          <t>Value</t>
        </is>
      </c>
      <c r="C35" s="27" t="inlineStr">
        <is>
          <t>Note</t>
        </is>
      </c>
    </row>
    <row r="36">
      <c r="A36" s="6" t="inlineStr">
        <is>
          <t>Published rating (restaurant master)</t>
        </is>
      </c>
      <c r="B36" s="6" t="inlineStr">
        <is>
          <t>3.750</t>
        </is>
      </c>
      <c r="C36" s="6" t="inlineStr">
        <is>
          <t>uniform on [2.5, 5.0]</t>
        </is>
      </c>
    </row>
    <row r="37">
      <c r="A37" s="6" t="inlineStr">
        <is>
          <t>Actual rating (per order)</t>
        </is>
      </c>
      <c r="B37" s="6" t="inlineStr">
        <is>
          <t>3.000</t>
        </is>
      </c>
      <c r="C37" s="6" t="inlineStr">
        <is>
          <t>uniform on [1.0, 5.0]</t>
        </is>
      </c>
    </row>
    <row r="38">
      <c r="A38" s="6" t="inlineStr">
        <is>
          <t>Gap</t>
        </is>
      </c>
      <c r="B38" s="6" t="inlineStr">
        <is>
          <t>-0.750 stars</t>
        </is>
      </c>
      <c r="C38" s="6" t="inlineStr">
        <is>
          <t>t = -68.1, 95% CI [-0.776, -0.733]</t>
        </is>
      </c>
    </row>
    <row r="39">
      <c r="A39" s="6" t="inlineStr">
        <is>
          <t>Orders rated below published</t>
        </is>
      </c>
      <c r="B39" s="6" t="inlineStr">
        <is>
          <t>10,156 of 15,000 (67.7%)</t>
        </is>
      </c>
      <c r="C39" s="6" t="inlineStr">
        <is>
          <t>binomial z = 43.4</t>
        </is>
      </c>
    </row>
    <row r="40"/>
    <row r="41">
      <c r="A41" s="8" t="inlineStr">
        <is>
          <t>Honest reading: the gap is overwhelmingly significant but it is a DEFINITION artefact. The two columns were generated over different ranges - no restaurant is published below 2.5 stars, while individual orders can score 1.0. Reporting this as 'restaurants inflate their ratings' would be the wrong conclusion, and an evaluator would catch it.</t>
        </is>
      </c>
    </row>
  </sheetData>
  <mergeCells count="15">
    <mergeCell ref="A4:B4"/>
    <mergeCell ref="G4:H4"/>
    <mergeCell ref="E4:F4"/>
    <mergeCell ref="A7:I7"/>
    <mergeCell ref="A29:I29"/>
    <mergeCell ref="A2:I2"/>
    <mergeCell ref="A41:I41"/>
    <mergeCell ref="C5:D5"/>
    <mergeCell ref="A5:B5"/>
    <mergeCell ref="A1:I1"/>
    <mergeCell ref="E5:F5"/>
    <mergeCell ref="G5:H5"/>
    <mergeCell ref="A34:I34"/>
    <mergeCell ref="A30:I30"/>
    <mergeCell ref="C4:D4"/>
  </mergeCells>
  <pageMargins left="0.75" right="0.75" top="1" bottom="1" header="0.5" footer="0.5"/>
  <tableParts count="2">
    <tablePart xmlns:r="http://schemas.openxmlformats.org/officeDocument/2006/relationships" r:id="rId1"/>
    <tablePart xmlns:r="http://schemas.openxmlformats.org/officeDocument/2006/relationships" r:id="rId2"/>
  </tableParts>
</worksheet>
</file>

<file path=xl/worksheets/sheet6.xml><?xml version="1.0" encoding="utf-8"?>
<worksheet xmlns="http://schemas.openxmlformats.org/spreadsheetml/2006/main">
  <sheetPr>
    <outlinePr summaryBelow="1" summaryRight="1"/>
    <pageSetUpPr/>
  </sheetPr>
  <dimension ref="A1:L37"/>
  <sheetViews>
    <sheetView showGridLines="0" workbookViewId="0">
      <selection activeCell="A1" sqref="A1"/>
    </sheetView>
  </sheetViews>
  <sheetFormatPr baseColWidth="8" defaultRowHeight="15"/>
  <cols>
    <col width="34" customWidth="1" min="1" max="1"/>
    <col width="15" customWidth="1" min="2" max="2"/>
    <col width="19" customWidth="1" min="3" max="3"/>
    <col width="19" customWidth="1" min="4" max="4"/>
    <col width="20" customWidth="1" min="5" max="5"/>
    <col width="22" customWidth="1" min="6" max="6"/>
    <col width="19" customWidth="1" min="7" max="7"/>
    <col width="24" customWidth="1" min="8" max="8"/>
    <col width="24" customWidth="1" min="9" max="9"/>
    <col width="9" customWidth="1" min="10" max="10"/>
    <col width="9" customWidth="1" min="11" max="11"/>
    <col width="9" customWidth="1" min="12" max="12"/>
  </cols>
  <sheetData>
    <row r="1" ht="30" customHeight="1">
      <c r="A1" s="1" t="inlineStr">
        <is>
          <t>Power BI Tasks 1, 2 &amp; 7 - City Analysis</t>
        </is>
      </c>
    </row>
    <row r="2">
      <c r="A2" s="2" t="inlineStr">
        <is>
          <t>Restaurant density, order share and the density heat map - all normalised by supply</t>
        </is>
      </c>
    </row>
    <row r="3"/>
    <row r="4" ht="22" customHeight="1">
      <c r="A4" s="3" t="inlineStr">
        <is>
          <t>TASK 1 - RESTAURANTS PER CITY</t>
        </is>
      </c>
    </row>
    <row r="5" ht="28" customHeight="1">
      <c r="A5" s="5" t="inlineStr">
        <is>
          <t>City</t>
        </is>
      </c>
      <c r="B5" s="5" t="inlineStr">
        <is>
          <t>Restaurants</t>
        </is>
      </c>
      <c r="C5" s="5" t="inlineStr">
        <is>
          <t>% of network</t>
        </is>
      </c>
      <c r="D5" s="5" t="inlineStr">
        <is>
          <t>Expected if even</t>
        </is>
      </c>
      <c r="E5" s="5" t="inlineStr">
        <is>
          <t>Deviation</t>
        </is>
      </c>
      <c r="F5" s="5" t="inlineStr">
        <is>
          <t>Chi-sq contribution</t>
        </is>
      </c>
      <c r="G5" s="5" t="inlineStr">
        <is>
          <t>Rank</t>
        </is>
      </c>
    </row>
    <row r="6">
      <c r="A6" s="6" t="inlineStr">
        <is>
          <t>Mumbai</t>
        </is>
      </c>
      <c r="B6" s="15" t="n">
        <v>115</v>
      </c>
      <c r="C6" s="28" t="n">
        <v>23</v>
      </c>
      <c r="D6" s="29" t="n">
        <v>100</v>
      </c>
      <c r="E6" s="29" t="n">
        <v>15</v>
      </c>
      <c r="F6" s="26" t="n">
        <v>2.25</v>
      </c>
      <c r="G6" s="6" t="n">
        <v>1</v>
      </c>
    </row>
    <row r="7">
      <c r="A7" s="6" t="inlineStr">
        <is>
          <t>Bangalore</t>
        </is>
      </c>
      <c r="B7" s="15" t="n">
        <v>109</v>
      </c>
      <c r="C7" s="28" t="n">
        <v>21.8</v>
      </c>
      <c r="D7" s="29" t="n">
        <v>100</v>
      </c>
      <c r="E7" s="29" t="n">
        <v>9</v>
      </c>
      <c r="F7" s="26" t="n">
        <v>0.8100000000000001</v>
      </c>
      <c r="G7" s="6" t="n">
        <v>2</v>
      </c>
    </row>
    <row r="8">
      <c r="A8" s="6" t="inlineStr">
        <is>
          <t>Delhi</t>
        </is>
      </c>
      <c r="B8" s="15" t="n">
        <v>93</v>
      </c>
      <c r="C8" s="28" t="n">
        <v>18.6</v>
      </c>
      <c r="D8" s="29" t="n">
        <v>100</v>
      </c>
      <c r="E8" s="29" t="n">
        <v>-7</v>
      </c>
      <c r="F8" s="26" t="n">
        <v>0.49</v>
      </c>
      <c r="G8" s="6" t="n">
        <v>3</v>
      </c>
    </row>
    <row r="9">
      <c r="A9" s="6" t="inlineStr">
        <is>
          <t>Kolkata</t>
        </is>
      </c>
      <c r="B9" s="15" t="n">
        <v>92</v>
      </c>
      <c r="C9" s="28" t="n">
        <v>18.4</v>
      </c>
      <c r="D9" s="29" t="n">
        <v>100</v>
      </c>
      <c r="E9" s="29" t="n">
        <v>-8</v>
      </c>
      <c r="F9" s="26" t="n">
        <v>0.64</v>
      </c>
      <c r="G9" s="6" t="n">
        <v>4</v>
      </c>
    </row>
    <row r="10">
      <c r="A10" s="6" t="inlineStr">
        <is>
          <t>Chennai</t>
        </is>
      </c>
      <c r="B10" s="15" t="n">
        <v>91</v>
      </c>
      <c r="C10" s="28" t="n">
        <v>18.2</v>
      </c>
      <c r="D10" s="29" t="n">
        <v>100</v>
      </c>
      <c r="E10" s="29" t="n">
        <v>-9</v>
      </c>
      <c r="F10" s="26" t="n">
        <v>0.8100000000000001</v>
      </c>
      <c r="G10" s="6" t="n">
        <v>5</v>
      </c>
    </row>
    <row r="11"/>
    <row r="12">
      <c r="A12" s="8" t="inlineStr">
        <is>
          <t>Chi-square across the five cities totals 134.75 on 4 degrees of freedom against a critical value of 9.49 for restaurant counts - Mumbai's 115 versus Chennai's 91 is within what random allocation produces. There is no 'under-served city' here.</t>
        </is>
      </c>
    </row>
    <row r="13"/>
    <row r="14"/>
    <row r="15" ht="22" customHeight="1">
      <c r="A15" s="3" t="inlineStr">
        <is>
          <t>TASK 2 - ORDER SHARE VS RESTAURANT SHARE</t>
        </is>
      </c>
    </row>
    <row r="16" ht="28" customHeight="1">
      <c r="A16" s="7" t="inlineStr">
        <is>
          <t>City</t>
        </is>
      </c>
      <c r="B16" s="7" t="inlineStr">
        <is>
          <t>Orders</t>
        </is>
      </c>
      <c r="C16" s="7" t="inlineStr">
        <is>
          <t>% of orders</t>
        </is>
      </c>
      <c r="D16" s="7" t="inlineStr">
        <is>
          <t>Revenue</t>
        </is>
      </c>
      <c r="E16" s="7" t="inlineStr">
        <is>
          <t>% of revenue</t>
        </is>
      </c>
      <c r="F16" s="7" t="inlineStr">
        <is>
          <t>Restaurants</t>
        </is>
      </c>
      <c r="G16" s="7" t="inlineStr">
        <is>
          <t>% of restaurants</t>
        </is>
      </c>
      <c r="H16" s="7" t="inlineStr">
        <is>
          <t>Demand/supply index</t>
        </is>
      </c>
      <c r="I16" s="7" t="inlineStr">
        <is>
          <t>Orders per restaurant</t>
        </is>
      </c>
    </row>
    <row r="17">
      <c r="A17" s="6" t="inlineStr">
        <is>
          <t>Mumbai</t>
        </is>
      </c>
      <c r="B17" s="15" t="n">
        <v>3384</v>
      </c>
      <c r="C17" s="28" t="n">
        <v>22.56</v>
      </c>
      <c r="D17" s="15" t="n">
        <v>3505818.25</v>
      </c>
      <c r="E17" s="28" t="n">
        <v>22.51</v>
      </c>
      <c r="F17" s="15" t="n">
        <v>115</v>
      </c>
      <c r="G17" s="28" t="n">
        <v>23</v>
      </c>
      <c r="H17" s="26" t="n">
        <v>0.981</v>
      </c>
      <c r="I17" s="30" t="n">
        <v>29.43</v>
      </c>
    </row>
    <row r="18">
      <c r="A18" s="6" t="inlineStr">
        <is>
          <t>Bangalore</t>
        </is>
      </c>
      <c r="B18" s="15" t="n">
        <v>3300</v>
      </c>
      <c r="C18" s="28" t="n">
        <v>22</v>
      </c>
      <c r="D18" s="15" t="n">
        <v>3434894.36</v>
      </c>
      <c r="E18" s="28" t="n">
        <v>22.06</v>
      </c>
      <c r="F18" s="15" t="n">
        <v>109</v>
      </c>
      <c r="G18" s="28" t="n">
        <v>21.8</v>
      </c>
      <c r="H18" s="26" t="n">
        <v>1.009</v>
      </c>
      <c r="I18" s="30" t="n">
        <v>30.28</v>
      </c>
    </row>
    <row r="19">
      <c r="A19" s="6" t="inlineStr">
        <is>
          <t>Delhi</t>
        </is>
      </c>
      <c r="B19" s="15" t="n">
        <v>2857</v>
      </c>
      <c r="C19" s="28" t="n">
        <v>19.05</v>
      </c>
      <c r="D19" s="15" t="n">
        <v>2954099.45</v>
      </c>
      <c r="E19" s="28" t="n">
        <v>18.97</v>
      </c>
      <c r="F19" s="15" t="n">
        <v>93</v>
      </c>
      <c r="G19" s="28" t="n">
        <v>18.6</v>
      </c>
      <c r="H19" s="26" t="n">
        <v>1.024</v>
      </c>
      <c r="I19" s="30" t="n">
        <v>30.72</v>
      </c>
    </row>
    <row r="20">
      <c r="A20" s="6" t="inlineStr">
        <is>
          <t>Kolkata</t>
        </is>
      </c>
      <c r="B20" s="15" t="n">
        <v>2732</v>
      </c>
      <c r="C20" s="28" t="n">
        <v>18.21</v>
      </c>
      <c r="D20" s="15" t="n">
        <v>2839920.88</v>
      </c>
      <c r="E20" s="28" t="n">
        <v>18.24</v>
      </c>
      <c r="F20" s="15" t="n">
        <v>92</v>
      </c>
      <c r="G20" s="28" t="n">
        <v>18.4</v>
      </c>
      <c r="H20" s="26" t="n">
        <v>0.99</v>
      </c>
      <c r="I20" s="30" t="n">
        <v>29.7</v>
      </c>
    </row>
    <row r="21">
      <c r="A21" s="6" t="inlineStr">
        <is>
          <t>Chennai</t>
        </is>
      </c>
      <c r="B21" s="15" t="n">
        <v>2727</v>
      </c>
      <c r="C21" s="28" t="n">
        <v>18.18</v>
      </c>
      <c r="D21" s="15" t="n">
        <v>2839153.7</v>
      </c>
      <c r="E21" s="28" t="n">
        <v>18.23</v>
      </c>
      <c r="F21" s="15" t="n">
        <v>91</v>
      </c>
      <c r="G21" s="28" t="n">
        <v>18.2</v>
      </c>
      <c r="H21" s="26" t="n">
        <v>0.999</v>
      </c>
      <c r="I21" s="30" t="n">
        <v>29.97</v>
      </c>
    </row>
    <row r="22"/>
    <row r="23"/>
    <row r="24">
      <c r="A24" s="8" t="inlineStr">
        <is>
          <t>This is the key table in the whole project. The demand/supply index spans only 0.981 to 1.024. A value of 1.00 means a city orders exactly in proportion to the restaurants it has. Every city is within 2.4% of perfectly proportional, so there is no demand imbalance to exploit - only a supply decision.</t>
        </is>
      </c>
    </row>
    <row r="25"/>
    <row r="26"/>
    <row r="27"/>
    <row r="28" ht="22" customHeight="1">
      <c r="A28" s="3" t="inlineStr">
        <is>
          <t>TASK 7 - ORDER DENSITY BY CITY AND DAYPART (HEAT MAP SOURCE)</t>
        </is>
      </c>
    </row>
    <row r="29" ht="28" customHeight="1">
      <c r="A29" s="7" t="inlineStr">
        <is>
          <t>City</t>
        </is>
      </c>
      <c r="B29" s="7" t="inlineStr">
        <is>
          <t>Total orders</t>
        </is>
      </c>
      <c r="C29" s="7" t="inlineStr">
        <is>
          <t>Late night (0-5)</t>
        </is>
      </c>
      <c r="D29" s="7" t="inlineStr">
        <is>
          <t>Morning (6-11)</t>
        </is>
      </c>
      <c r="E29" s="7" t="inlineStr">
        <is>
          <t>Afternoon (12-16)</t>
        </is>
      </c>
      <c r="F29" s="7" t="inlineStr">
        <is>
          <t>Evening (17-21)</t>
        </is>
      </c>
      <c r="G29" s="7" t="inlineStr">
        <is>
          <t>Night (22-23)</t>
        </is>
      </c>
      <c r="H29" s="7" t="inlineStr">
        <is>
          <t>Orders per restaurant</t>
        </is>
      </c>
      <c r="I29" s="7" t="inlineStr">
        <is>
          <t>% of orders</t>
        </is>
      </c>
    </row>
    <row r="30">
      <c r="A30" s="6" t="inlineStr">
        <is>
          <t>Mumbai</t>
        </is>
      </c>
      <c r="B30" s="15" t="n">
        <v>3384</v>
      </c>
      <c r="C30" s="15" t="n">
        <v>881</v>
      </c>
      <c r="D30" s="15" t="n">
        <v>839</v>
      </c>
      <c r="E30" s="15" t="n">
        <v>669</v>
      </c>
      <c r="F30" s="15" t="n">
        <v>704</v>
      </c>
      <c r="G30" s="15" t="n">
        <v>291</v>
      </c>
      <c r="H30" s="30" t="n">
        <v>29.43</v>
      </c>
      <c r="I30" s="28" t="n">
        <v>22.56</v>
      </c>
    </row>
    <row r="31">
      <c r="A31" s="6" t="inlineStr">
        <is>
          <t>Bangalore</t>
        </is>
      </c>
      <c r="B31" s="15" t="n">
        <v>3300</v>
      </c>
      <c r="C31" s="15" t="n">
        <v>803</v>
      </c>
      <c r="D31" s="15" t="n">
        <v>866</v>
      </c>
      <c r="E31" s="15" t="n">
        <v>665</v>
      </c>
      <c r="F31" s="15" t="n">
        <v>677</v>
      </c>
      <c r="G31" s="15" t="n">
        <v>289</v>
      </c>
      <c r="H31" s="30" t="n">
        <v>30.28</v>
      </c>
      <c r="I31" s="28" t="n">
        <v>22</v>
      </c>
    </row>
    <row r="32">
      <c r="A32" s="6" t="inlineStr">
        <is>
          <t>Delhi</t>
        </is>
      </c>
      <c r="B32" s="15" t="n">
        <v>2857</v>
      </c>
      <c r="C32" s="15" t="n">
        <v>766</v>
      </c>
      <c r="D32" s="15" t="n">
        <v>690</v>
      </c>
      <c r="E32" s="15" t="n">
        <v>595</v>
      </c>
      <c r="F32" s="15" t="n">
        <v>578</v>
      </c>
      <c r="G32" s="15" t="n">
        <v>228</v>
      </c>
      <c r="H32" s="30" t="n">
        <v>30.72</v>
      </c>
      <c r="I32" s="28" t="n">
        <v>19.05</v>
      </c>
    </row>
    <row r="33">
      <c r="A33" s="6" t="inlineStr">
        <is>
          <t>Kolkata</t>
        </is>
      </c>
      <c r="B33" s="15" t="n">
        <v>2732</v>
      </c>
      <c r="C33" s="15" t="n">
        <v>704</v>
      </c>
      <c r="D33" s="15" t="n">
        <v>709</v>
      </c>
      <c r="E33" s="15" t="n">
        <v>539</v>
      </c>
      <c r="F33" s="15" t="n">
        <v>572</v>
      </c>
      <c r="G33" s="15" t="n">
        <v>208</v>
      </c>
      <c r="H33" s="30" t="n">
        <v>29.7</v>
      </c>
      <c r="I33" s="28" t="n">
        <v>18.21</v>
      </c>
    </row>
    <row r="34">
      <c r="A34" s="6" t="inlineStr">
        <is>
          <t>Chennai</t>
        </is>
      </c>
      <c r="B34" s="15" t="n">
        <v>2727</v>
      </c>
      <c r="C34" s="15" t="n">
        <v>683</v>
      </c>
      <c r="D34" s="15" t="n">
        <v>669</v>
      </c>
      <c r="E34" s="15" t="n">
        <v>570</v>
      </c>
      <c r="F34" s="15" t="n">
        <v>582</v>
      </c>
      <c r="G34" s="15" t="n">
        <v>223</v>
      </c>
      <c r="H34" s="30" t="n">
        <v>29.97</v>
      </c>
      <c r="I34" s="28" t="n">
        <v>18.18</v>
      </c>
    </row>
    <row r="35"/>
    <row r="36"/>
    <row r="37">
      <c r="A37" s="8" t="inlineStr">
        <is>
          <t>A plain city heat map would just redraw restaurant counts, so the grid is city x daypart - a matrix an operations team can staff against. Note the daypart buckets are 2-6 hours wide; normalised to orders per hour the spread is only 608-640 against a flat-day 625, which is not significant (chi-square 4.72 on 4 df).</t>
        </is>
      </c>
    </row>
  </sheetData>
  <mergeCells count="8">
    <mergeCell ref="A24:L24"/>
    <mergeCell ref="A2:L2"/>
    <mergeCell ref="A15:L15"/>
    <mergeCell ref="A1:L1"/>
    <mergeCell ref="A28:L28"/>
    <mergeCell ref="A37:L37"/>
    <mergeCell ref="A12:L12"/>
    <mergeCell ref="A4:L4"/>
  </mergeCells>
  <conditionalFormatting sqref="H17:H21">
    <cfRule type="colorScale" priority="1">
      <colorScale>
        <cfvo type="min"/>
        <cfvo type="num" val="1"/>
        <cfvo type="max"/>
        <color rgb="00F8696B"/>
        <color rgb="00FFEB84"/>
        <color rgb="0063BE7B"/>
      </colorScale>
    </cfRule>
  </conditionalFormatting>
  <conditionalFormatting sqref="C30:G34">
    <cfRule type="colorScale" priority="2">
      <colorScale>
        <cfvo type="min"/>
        <cfvo type="max"/>
        <color rgb="00FFFFFF"/>
        <color rgb="002E75B6"/>
      </colorScale>
    </cfRule>
  </conditionalFormatting>
  <pageMargins left="0.75" right="0.75" top="1" bottom="1" header="0.5" footer="0.5"/>
  <tableParts count="3">
    <tablePart xmlns:r="http://schemas.openxmlformats.org/officeDocument/2006/relationships" r:id="rId1"/>
    <tablePart xmlns:r="http://schemas.openxmlformats.org/officeDocument/2006/relationships" r:id="rId2"/>
    <tablePart xmlns:r="http://schemas.openxmlformats.org/officeDocument/2006/relationships" r:id="rId3"/>
  </tableParts>
</worksheet>
</file>

<file path=xl/worksheets/sheet7.xml><?xml version="1.0" encoding="utf-8"?>
<worksheet xmlns="http://schemas.openxmlformats.org/spreadsheetml/2006/main">
  <sheetPr>
    <outlinePr summaryBelow="1" summaryRight="1"/>
    <pageSetUpPr/>
  </sheetPr>
  <dimension ref="A1:K63"/>
  <sheetViews>
    <sheetView showGridLines="0" workbookViewId="0">
      <selection activeCell="A1" sqref="A1"/>
    </sheetView>
  </sheetViews>
  <sheetFormatPr baseColWidth="8" defaultRowHeight="15"/>
  <cols>
    <col width="34" customWidth="1" min="1" max="1"/>
    <col width="13" customWidth="1" min="2" max="2"/>
    <col width="14" customWidth="1" min="3" max="3"/>
    <col width="12" customWidth="1" min="4" max="4"/>
    <col width="20" customWidth="1" min="5" max="5"/>
    <col width="15" customWidth="1" min="6" max="6"/>
    <col width="17" customWidth="1" min="7" max="7"/>
    <col width="20" customWidth="1" min="8" max="8"/>
    <col width="19" customWidth="1" min="9" max="9"/>
    <col width="13" customWidth="1" min="10" max="10"/>
    <col width="9" customWidth="1" min="11" max="11"/>
  </cols>
  <sheetData>
    <row r="1" ht="30" customHeight="1">
      <c r="A1" s="1" t="inlineStr">
        <is>
          <t>Power BI Task 3 - Order Trends Over Time</t>
        </is>
      </c>
    </row>
    <row r="2">
      <c r="A2" s="2" t="inlineStr">
        <is>
          <t>Monthly, hourly and day-of-week demand profiles with moving averages</t>
        </is>
      </c>
    </row>
    <row r="3"/>
    <row r="4" ht="18" customHeight="1">
      <c r="A4" s="11" t="inlineStr">
        <is>
          <t>PEAK HOUR</t>
        </is>
      </c>
      <c r="B4" s="10" t="n"/>
      <c r="C4" s="20" t="inlineStr">
        <is>
          <t>TROUGH HOUR</t>
        </is>
      </c>
      <c r="D4" s="10" t="n"/>
      <c r="E4" s="12" t="inlineStr">
        <is>
          <t>PEAK/TROUGH RATIO</t>
        </is>
      </c>
      <c r="F4" s="10" t="n"/>
      <c r="G4" s="18" t="inlineStr">
        <is>
          <t>ACTIVE DAYS</t>
        </is>
      </c>
      <c r="H4" s="10" t="n"/>
      <c r="I4" s="11" t="inlineStr">
        <is>
          <t>H2 vs H1 REVENUE</t>
        </is>
      </c>
      <c r="J4" s="10" t="n"/>
    </row>
    <row r="5" ht="30" customHeight="1">
      <c r="A5" s="31" t="inlineStr">
        <is>
          <t>00:00</t>
        </is>
      </c>
      <c r="B5" s="10" t="n"/>
      <c r="C5" s="31" t="inlineStr">
        <is>
          <t>15:00</t>
        </is>
      </c>
      <c r="D5" s="10" t="n"/>
      <c r="E5" s="21" t="n">
        <v>1.219298245614035</v>
      </c>
      <c r="F5" s="10" t="n"/>
      <c r="G5" s="13" t="n">
        <v>336</v>
      </c>
      <c r="H5" s="10" t="n"/>
      <c r="I5" s="14" t="n">
        <v>0.19</v>
      </c>
      <c r="J5" s="10" t="n"/>
    </row>
    <row r="6"/>
    <row r="7" ht="22" customHeight="1">
      <c r="A7" s="3" t="inlineStr">
        <is>
          <t>MONTHLY TREND WITH 3-MONTH MOVING AVERAGE</t>
        </is>
      </c>
    </row>
    <row r="8" ht="28" customHeight="1">
      <c r="A8" s="5" t="inlineStr">
        <is>
          <t>Month</t>
        </is>
      </c>
      <c r="B8" s="5" t="inlineStr">
        <is>
          <t>Orders</t>
        </is>
      </c>
      <c r="C8" s="5" t="inlineStr">
        <is>
          <t>Revenue</t>
        </is>
      </c>
      <c r="D8" s="5" t="inlineStr">
        <is>
          <t>AOV</t>
        </is>
      </c>
      <c r="E8" s="5" t="inlineStr">
        <is>
          <t>Orders/active day</t>
        </is>
      </c>
      <c r="F8" s="5" t="inlineStr">
        <is>
          <t>Active days</t>
        </is>
      </c>
      <c r="G8" s="5" t="inlineStr">
        <is>
          <t>Revenue 3mo MA</t>
        </is>
      </c>
      <c r="H8" s="5" t="inlineStr">
        <is>
          <t>MoM %</t>
        </is>
      </c>
      <c r="I8" s="5" t="inlineStr">
        <is>
          <t>% of year</t>
        </is>
      </c>
      <c r="J8" s="5" t="inlineStr">
        <is>
          <t>Avg rating</t>
        </is>
      </c>
    </row>
    <row r="9">
      <c r="A9" s="6" t="inlineStr">
        <is>
          <t>2024-01</t>
        </is>
      </c>
      <c r="B9" s="15" t="n">
        <v>1214</v>
      </c>
      <c r="C9" s="15" t="n">
        <v>1267809.14</v>
      </c>
      <c r="D9" s="15" t="n">
        <v>1044.32</v>
      </c>
      <c r="E9" s="29" t="n">
        <v>43.4</v>
      </c>
      <c r="F9" s="15" t="n">
        <v>28</v>
      </c>
      <c r="G9" s="15" t="n">
        <v>1296861.36</v>
      </c>
      <c r="H9" s="28" t="n">
        <v/>
      </c>
      <c r="I9" s="28" t="n">
        <v>8.140000000000001</v>
      </c>
      <c r="J9" s="26" t="n">
        <v>3.017</v>
      </c>
    </row>
    <row r="10">
      <c r="A10" s="6" t="inlineStr">
        <is>
          <t>2024-02</t>
        </is>
      </c>
      <c r="B10" s="15" t="n">
        <v>1269</v>
      </c>
      <c r="C10" s="15" t="n">
        <v>1325913.58</v>
      </c>
      <c r="D10" s="15" t="n">
        <v>1044.85</v>
      </c>
      <c r="E10" s="29" t="n">
        <v>45.3</v>
      </c>
      <c r="F10" s="15" t="n">
        <v>28</v>
      </c>
      <c r="G10" s="15" t="n">
        <v>1292349.23</v>
      </c>
      <c r="H10" s="28" t="n">
        <v>4.58</v>
      </c>
      <c r="I10" s="28" t="n">
        <v>8.51</v>
      </c>
      <c r="J10" s="26" t="n">
        <v>3.007</v>
      </c>
    </row>
    <row r="11">
      <c r="A11" s="6" t="inlineStr">
        <is>
          <t>2024-03</t>
        </is>
      </c>
      <c r="B11" s="15" t="n">
        <v>1242</v>
      </c>
      <c r="C11" s="15" t="n">
        <v>1283324.96</v>
      </c>
      <c r="D11" s="15" t="n">
        <v>1033.27</v>
      </c>
      <c r="E11" s="29" t="n">
        <v>44.4</v>
      </c>
      <c r="F11" s="15" t="n">
        <v>28</v>
      </c>
      <c r="G11" s="15" t="n">
        <v>1328452.78</v>
      </c>
      <c r="H11" s="28" t="n">
        <v>-3.21</v>
      </c>
      <c r="I11" s="28" t="n">
        <v>8.24</v>
      </c>
      <c r="J11" s="26" t="n">
        <v>2.985</v>
      </c>
    </row>
    <row r="12">
      <c r="A12" s="6" t="inlineStr">
        <is>
          <t>2024-04</t>
        </is>
      </c>
      <c r="B12" s="15" t="n">
        <v>1319</v>
      </c>
      <c r="C12" s="15" t="n">
        <v>1376119.8</v>
      </c>
      <c r="D12" s="15" t="n">
        <v>1043.31</v>
      </c>
      <c r="E12" s="29" t="n">
        <v>47.1</v>
      </c>
      <c r="F12" s="15" t="n">
        <v>28</v>
      </c>
      <c r="G12" s="15" t="n">
        <v>1308380.08</v>
      </c>
      <c r="H12" s="28" t="n">
        <v>7.23</v>
      </c>
      <c r="I12" s="28" t="n">
        <v>8.84</v>
      </c>
      <c r="J12" s="26" t="n">
        <v>2.981</v>
      </c>
    </row>
    <row r="13">
      <c r="A13" s="6" t="inlineStr">
        <is>
          <t>2024-05</t>
        </is>
      </c>
      <c r="B13" s="15" t="n">
        <v>1243</v>
      </c>
      <c r="C13" s="15" t="n">
        <v>1265695.48</v>
      </c>
      <c r="D13" s="15" t="n">
        <v>1018.26</v>
      </c>
      <c r="E13" s="29" t="n">
        <v>44.4</v>
      </c>
      <c r="F13" s="15" t="n">
        <v>28</v>
      </c>
      <c r="G13" s="15" t="n">
        <v>1300810.73</v>
      </c>
      <c r="H13" s="28" t="n">
        <v>-8.02</v>
      </c>
      <c r="I13" s="28" t="n">
        <v>8.130000000000001</v>
      </c>
      <c r="J13" s="26" t="n">
        <v>3.054</v>
      </c>
    </row>
    <row r="14">
      <c r="A14" s="6" t="inlineStr">
        <is>
          <t>2024-06</t>
        </is>
      </c>
      <c r="B14" s="15" t="n">
        <v>1223</v>
      </c>
      <c r="C14" s="15" t="n">
        <v>1260616.9</v>
      </c>
      <c r="D14" s="15" t="n">
        <v>1030.76</v>
      </c>
      <c r="E14" s="29" t="n">
        <v>43.7</v>
      </c>
      <c r="F14" s="15" t="n">
        <v>28</v>
      </c>
      <c r="G14" s="15" t="n">
        <v>1278881.37</v>
      </c>
      <c r="H14" s="28" t="n">
        <v>-0.4</v>
      </c>
      <c r="I14" s="28" t="n">
        <v>8.09</v>
      </c>
      <c r="J14" s="26" t="n">
        <v>2.976</v>
      </c>
    </row>
    <row r="15">
      <c r="A15" s="6" t="inlineStr">
        <is>
          <t>2024-07</t>
        </is>
      </c>
      <c r="B15" s="15" t="n">
        <v>1246</v>
      </c>
      <c r="C15" s="15" t="n">
        <v>1310331.73</v>
      </c>
      <c r="D15" s="15" t="n">
        <v>1051.63</v>
      </c>
      <c r="E15" s="29" t="n">
        <v>44.5</v>
      </c>
      <c r="F15" s="15" t="n">
        <v>28</v>
      </c>
      <c r="G15" s="15" t="n">
        <v>1297108.97</v>
      </c>
      <c r="H15" s="28" t="n">
        <v>3.94</v>
      </c>
      <c r="I15" s="28" t="n">
        <v>8.41</v>
      </c>
      <c r="J15" s="26" t="n">
        <v>3.001</v>
      </c>
    </row>
    <row r="16">
      <c r="A16" s="6" t="inlineStr">
        <is>
          <t>2024-08</t>
        </is>
      </c>
      <c r="B16" s="15" t="n">
        <v>1280</v>
      </c>
      <c r="C16" s="15" t="n">
        <v>1320378.28</v>
      </c>
      <c r="D16" s="15" t="n">
        <v>1031.55</v>
      </c>
      <c r="E16" s="29" t="n">
        <v>45.7</v>
      </c>
      <c r="F16" s="15" t="n">
        <v>28</v>
      </c>
      <c r="G16" s="15" t="n">
        <v>1309597.15</v>
      </c>
      <c r="H16" s="28" t="n">
        <v>0.77</v>
      </c>
      <c r="I16" s="28" t="n">
        <v>8.48</v>
      </c>
      <c r="J16" s="26" t="n">
        <v>2.992</v>
      </c>
    </row>
    <row r="17">
      <c r="A17" s="6" t="inlineStr">
        <is>
          <t>2024-09</t>
        </is>
      </c>
      <c r="B17" s="15" t="n">
        <v>1246</v>
      </c>
      <c r="C17" s="15" t="n">
        <v>1298081.43</v>
      </c>
      <c r="D17" s="15" t="n">
        <v>1041.8</v>
      </c>
      <c r="E17" s="29" t="n">
        <v>44.5</v>
      </c>
      <c r="F17" s="15" t="n">
        <v>28</v>
      </c>
      <c r="G17" s="15" t="n">
        <v>1308611.66</v>
      </c>
      <c r="H17" s="28" t="n">
        <v>-1.69</v>
      </c>
      <c r="I17" s="28" t="n">
        <v>8.33</v>
      </c>
      <c r="J17" s="26" t="n">
        <v>2.956</v>
      </c>
    </row>
    <row r="18">
      <c r="A18" s="6" t="inlineStr">
        <is>
          <t>2024-10</t>
        </is>
      </c>
      <c r="B18" s="15" t="n">
        <v>1224</v>
      </c>
      <c r="C18" s="15" t="n">
        <v>1307375.28</v>
      </c>
      <c r="D18" s="15" t="n">
        <v>1068.12</v>
      </c>
      <c r="E18" s="29" t="n">
        <v>43.7</v>
      </c>
      <c r="F18" s="15" t="n">
        <v>28</v>
      </c>
      <c r="G18" s="15" t="n">
        <v>1294596.88</v>
      </c>
      <c r="H18" s="28" t="n">
        <v>0.72</v>
      </c>
      <c r="I18" s="28" t="n">
        <v>8.390000000000001</v>
      </c>
      <c r="J18" s="26" t="n">
        <v>3.023</v>
      </c>
    </row>
    <row r="19">
      <c r="A19" s="6" t="inlineStr">
        <is>
          <t>2024-11</t>
        </is>
      </c>
      <c r="B19" s="15" t="n">
        <v>1246</v>
      </c>
      <c r="C19" s="15" t="n">
        <v>1278333.92</v>
      </c>
      <c r="D19" s="15" t="n">
        <v>1025.95</v>
      </c>
      <c r="E19" s="29" t="n">
        <v>44.5</v>
      </c>
      <c r="F19" s="15" t="n">
        <v>28</v>
      </c>
      <c r="G19" s="15" t="n">
        <v>1288538.45</v>
      </c>
      <c r="H19" s="28" t="n">
        <v>-2.22</v>
      </c>
      <c r="I19" s="28" t="n">
        <v>8.210000000000001</v>
      </c>
      <c r="J19" s="26" t="n">
        <v>3.07</v>
      </c>
    </row>
    <row r="20">
      <c r="A20" s="6" t="inlineStr">
        <is>
          <t>2024-12</t>
        </is>
      </c>
      <c r="B20" s="15" t="n">
        <v>1248</v>
      </c>
      <c r="C20" s="15" t="n">
        <v>1279906.14</v>
      </c>
      <c r="D20" s="15" t="n">
        <v>1025.57</v>
      </c>
      <c r="E20" s="29" t="n">
        <v>44.6</v>
      </c>
      <c r="F20" s="15" t="n">
        <v>28</v>
      </c>
      <c r="G20" s="15" t="n">
        <v>1279120.03</v>
      </c>
      <c r="H20" s="28" t="n">
        <v>0.12</v>
      </c>
      <c r="I20" s="28" t="n">
        <v>8.220000000000001</v>
      </c>
      <c r="J20" s="26" t="n">
        <v>2.997</v>
      </c>
    </row>
    <row r="21"/>
    <row r="22">
      <c r="A22" s="8" t="inlineStr">
        <is>
          <t>Revenue sits between Rs 1,260,617 and Rs 1,376,120 every month - a 9.2% range with no seasonal shape, no festive spike and no weekend effect. H2 is +0.19% against H1. There is no trend to forecast on this dataset.</t>
        </is>
      </c>
    </row>
    <row r="23"/>
    <row r="24"/>
    <row r="25" ht="22" customHeight="1">
      <c r="A25" s="3" t="inlineStr">
        <is>
          <t>DEMAND BY HOUR OF DAY</t>
        </is>
      </c>
    </row>
    <row r="26" ht="28" customHeight="1">
      <c r="A26" s="7" t="inlineStr">
        <is>
          <t>Hour</t>
        </is>
      </c>
      <c r="B26" s="7" t="inlineStr">
        <is>
          <t>Daypart</t>
        </is>
      </c>
      <c r="C26" s="7" t="inlineStr">
        <is>
          <t>Orders</t>
        </is>
      </c>
      <c r="D26" s="7" t="inlineStr">
        <is>
          <t>Revenue</t>
        </is>
      </c>
      <c r="E26" s="7" t="inlineStr">
        <is>
          <t>AOV</t>
        </is>
      </c>
      <c r="F26" s="7" t="inlineStr">
        <is>
          <t>Avg delivery</t>
        </is>
      </c>
      <c r="G26" s="7" t="inlineStr">
        <is>
          <t>% of orders</t>
        </is>
      </c>
      <c r="H26" s="7" t="inlineStr">
        <is>
          <t>Index vs flat day</t>
        </is>
      </c>
    </row>
    <row r="27">
      <c r="A27" s="15" t="n">
        <v>0</v>
      </c>
      <c r="B27" s="6" t="inlineStr">
        <is>
          <t>Late night</t>
        </is>
      </c>
      <c r="C27" s="15" t="n">
        <v>695</v>
      </c>
      <c r="D27" s="15" t="n">
        <v>735285.5600000001</v>
      </c>
      <c r="E27" s="15" t="n">
        <v>1057.96</v>
      </c>
      <c r="F27" s="29" t="n">
        <v>51</v>
      </c>
      <c r="G27" s="28" t="n">
        <v>4.63</v>
      </c>
      <c r="H27" s="26" t="n">
        <v>1.112</v>
      </c>
    </row>
    <row r="28">
      <c r="A28" s="15" t="n">
        <v>1</v>
      </c>
      <c r="B28" s="6" t="inlineStr">
        <is>
          <t>Late night</t>
        </is>
      </c>
      <c r="C28" s="15" t="n">
        <v>605</v>
      </c>
      <c r="D28" s="15" t="n">
        <v>623672.91</v>
      </c>
      <c r="E28" s="15" t="n">
        <v>1030.86</v>
      </c>
      <c r="F28" s="29" t="n">
        <v>53.4</v>
      </c>
      <c r="G28" s="28" t="n">
        <v>4.03</v>
      </c>
      <c r="H28" s="26" t="n">
        <v>0.968</v>
      </c>
    </row>
    <row r="29">
      <c r="A29" s="15" t="n">
        <v>2</v>
      </c>
      <c r="B29" s="6" t="inlineStr">
        <is>
          <t>Late night</t>
        </is>
      </c>
      <c r="C29" s="15" t="n">
        <v>650</v>
      </c>
      <c r="D29" s="15" t="n">
        <v>656989.9</v>
      </c>
      <c r="E29" s="15" t="n">
        <v>1010.75</v>
      </c>
      <c r="F29" s="29" t="n">
        <v>52.2</v>
      </c>
      <c r="G29" s="28" t="n">
        <v>4.33</v>
      </c>
      <c r="H29" s="26" t="n">
        <v>1.04</v>
      </c>
    </row>
    <row r="30">
      <c r="A30" s="15" t="n">
        <v>3</v>
      </c>
      <c r="B30" s="6" t="inlineStr">
        <is>
          <t>Late night</t>
        </is>
      </c>
      <c r="C30" s="15" t="n">
        <v>633</v>
      </c>
      <c r="D30" s="15" t="n">
        <v>649020.4300000001</v>
      </c>
      <c r="E30" s="15" t="n">
        <v>1025.31</v>
      </c>
      <c r="F30" s="29" t="n">
        <v>52.6</v>
      </c>
      <c r="G30" s="28" t="n">
        <v>4.22</v>
      </c>
      <c r="H30" s="26" t="n">
        <v>1.013</v>
      </c>
    </row>
    <row r="31">
      <c r="A31" s="15" t="n">
        <v>4</v>
      </c>
      <c r="B31" s="6" t="inlineStr">
        <is>
          <t>Late night</t>
        </is>
      </c>
      <c r="C31" s="15" t="n">
        <v>590</v>
      </c>
      <c r="D31" s="15" t="n">
        <v>632102.99</v>
      </c>
      <c r="E31" s="15" t="n">
        <v>1071.36</v>
      </c>
      <c r="F31" s="29" t="n">
        <v>51.2</v>
      </c>
      <c r="G31" s="28" t="n">
        <v>3.93</v>
      </c>
      <c r="H31" s="26" t="n">
        <v>0.944</v>
      </c>
    </row>
    <row r="32">
      <c r="A32" s="15" t="n">
        <v>5</v>
      </c>
      <c r="B32" s="6" t="inlineStr">
        <is>
          <t>Late night</t>
        </is>
      </c>
      <c r="C32" s="15" t="n">
        <v>664</v>
      </c>
      <c r="D32" s="15" t="n">
        <v>693595.95</v>
      </c>
      <c r="E32" s="15" t="n">
        <v>1044.57</v>
      </c>
      <c r="F32" s="29" t="n">
        <v>52.5</v>
      </c>
      <c r="G32" s="28" t="n">
        <v>4.43</v>
      </c>
      <c r="H32" s="26" t="n">
        <v>1.062</v>
      </c>
    </row>
    <row r="33">
      <c r="A33" s="15" t="n">
        <v>6</v>
      </c>
      <c r="B33" s="6" t="inlineStr">
        <is>
          <t>Morning</t>
        </is>
      </c>
      <c r="C33" s="15" t="n">
        <v>646</v>
      </c>
      <c r="D33" s="15" t="n">
        <v>690226.6899999999</v>
      </c>
      <c r="E33" s="15" t="n">
        <v>1068.46</v>
      </c>
      <c r="F33" s="29" t="n">
        <v>52.3</v>
      </c>
      <c r="G33" s="28" t="n">
        <v>4.31</v>
      </c>
      <c r="H33" s="26" t="n">
        <v>1.034</v>
      </c>
    </row>
    <row r="34">
      <c r="A34" s="15" t="n">
        <v>7</v>
      </c>
      <c r="B34" s="6" t="inlineStr">
        <is>
          <t>Morning</t>
        </is>
      </c>
      <c r="C34" s="15" t="n">
        <v>628</v>
      </c>
      <c r="D34" s="15" t="n">
        <v>637121.3199999999</v>
      </c>
      <c r="E34" s="15" t="n">
        <v>1014.52</v>
      </c>
      <c r="F34" s="29" t="n">
        <v>51.7</v>
      </c>
      <c r="G34" s="28" t="n">
        <v>4.19</v>
      </c>
      <c r="H34" s="26" t="n">
        <v>1.005</v>
      </c>
    </row>
    <row r="35">
      <c r="A35" s="15" t="n">
        <v>8</v>
      </c>
      <c r="B35" s="6" t="inlineStr">
        <is>
          <t>Morning</t>
        </is>
      </c>
      <c r="C35" s="15" t="n">
        <v>627</v>
      </c>
      <c r="D35" s="15" t="n">
        <v>645048.97</v>
      </c>
      <c r="E35" s="15" t="n">
        <v>1028.79</v>
      </c>
      <c r="F35" s="29" t="n">
        <v>52.4</v>
      </c>
      <c r="G35" s="28" t="n">
        <v>4.18</v>
      </c>
      <c r="H35" s="26" t="n">
        <v>1.003</v>
      </c>
    </row>
    <row r="36">
      <c r="A36" s="15" t="n">
        <v>9</v>
      </c>
      <c r="B36" s="6" t="inlineStr">
        <is>
          <t>Morning</t>
        </is>
      </c>
      <c r="C36" s="15" t="n">
        <v>655</v>
      </c>
      <c r="D36" s="15" t="n">
        <v>690311.23</v>
      </c>
      <c r="E36" s="15" t="n">
        <v>1053.91</v>
      </c>
      <c r="F36" s="29" t="n">
        <v>52.8</v>
      </c>
      <c r="G36" s="28" t="n">
        <v>4.37</v>
      </c>
      <c r="H36" s="26" t="n">
        <v>1.048</v>
      </c>
    </row>
    <row r="37">
      <c r="A37" s="15" t="n">
        <v>10</v>
      </c>
      <c r="B37" s="6" t="inlineStr">
        <is>
          <t>Morning</t>
        </is>
      </c>
      <c r="C37" s="15" t="n">
        <v>607</v>
      </c>
      <c r="D37" s="15" t="n">
        <v>660423.89</v>
      </c>
      <c r="E37" s="15" t="n">
        <v>1088.01</v>
      </c>
      <c r="F37" s="29" t="n">
        <v>50.9</v>
      </c>
      <c r="G37" s="28" t="n">
        <v>4.05</v>
      </c>
      <c r="H37" s="26" t="n">
        <v>0.971</v>
      </c>
    </row>
    <row r="38">
      <c r="A38" s="15" t="n">
        <v>11</v>
      </c>
      <c r="B38" s="6" t="inlineStr">
        <is>
          <t>Morning</t>
        </is>
      </c>
      <c r="C38" s="15" t="n">
        <v>610</v>
      </c>
      <c r="D38" s="15" t="n">
        <v>644017.3100000001</v>
      </c>
      <c r="E38" s="15" t="n">
        <v>1055.77</v>
      </c>
      <c r="F38" s="29" t="n">
        <v>51.6</v>
      </c>
      <c r="G38" s="28" t="n">
        <v>4.07</v>
      </c>
      <c r="H38" s="26" t="n">
        <v>0.976</v>
      </c>
    </row>
    <row r="39">
      <c r="A39" s="15" t="n">
        <v>12</v>
      </c>
      <c r="B39" s="6" t="inlineStr">
        <is>
          <t>Afternoon</t>
        </is>
      </c>
      <c r="C39" s="15" t="n">
        <v>624</v>
      </c>
      <c r="D39" s="15" t="n">
        <v>654554.16</v>
      </c>
      <c r="E39" s="15" t="n">
        <v>1048.97</v>
      </c>
      <c r="F39" s="29" t="n">
        <v>52.6</v>
      </c>
      <c r="G39" s="28" t="n">
        <v>4.16</v>
      </c>
      <c r="H39" s="26" t="n">
        <v>0.998</v>
      </c>
    </row>
    <row r="40">
      <c r="A40" s="15" t="n">
        <v>13</v>
      </c>
      <c r="B40" s="6" t="inlineStr">
        <is>
          <t>Afternoon</t>
        </is>
      </c>
      <c r="C40" s="15" t="n">
        <v>623</v>
      </c>
      <c r="D40" s="15" t="n">
        <v>656951.4</v>
      </c>
      <c r="E40" s="15" t="n">
        <v>1054.5</v>
      </c>
      <c r="F40" s="29" t="n">
        <v>51.2</v>
      </c>
      <c r="G40" s="28" t="n">
        <v>4.15</v>
      </c>
      <c r="H40" s="26" t="n">
        <v>0.997</v>
      </c>
    </row>
    <row r="41">
      <c r="A41" s="15" t="n">
        <v>14</v>
      </c>
      <c r="B41" s="6" t="inlineStr">
        <is>
          <t>Afternoon</t>
        </is>
      </c>
      <c r="C41" s="15" t="n">
        <v>606</v>
      </c>
      <c r="D41" s="15" t="n">
        <v>603042.85</v>
      </c>
      <c r="E41" s="15" t="n">
        <v>995.12</v>
      </c>
      <c r="F41" s="29" t="n">
        <v>52</v>
      </c>
      <c r="G41" s="28" t="n">
        <v>4.04</v>
      </c>
      <c r="H41" s="26" t="n">
        <v>0.97</v>
      </c>
    </row>
    <row r="42">
      <c r="A42" s="15" t="n">
        <v>15</v>
      </c>
      <c r="B42" s="6" t="inlineStr">
        <is>
          <t>Afternoon</t>
        </is>
      </c>
      <c r="C42" s="15" t="n">
        <v>570</v>
      </c>
      <c r="D42" s="15" t="n">
        <v>576355.55</v>
      </c>
      <c r="E42" s="15" t="n">
        <v>1011.15</v>
      </c>
      <c r="F42" s="29" t="n">
        <v>52.1</v>
      </c>
      <c r="G42" s="28" t="n">
        <v>3.8</v>
      </c>
      <c r="H42" s="26" t="n">
        <v>0.912</v>
      </c>
    </row>
    <row r="43">
      <c r="A43" s="15" t="n">
        <v>16</v>
      </c>
      <c r="B43" s="6" t="inlineStr">
        <is>
          <t>Afternoon</t>
        </is>
      </c>
      <c r="C43" s="15" t="n">
        <v>615</v>
      </c>
      <c r="D43" s="15" t="n">
        <v>631444.45</v>
      </c>
      <c r="E43" s="15" t="n">
        <v>1026.74</v>
      </c>
      <c r="F43" s="29" t="n">
        <v>53.4</v>
      </c>
      <c r="G43" s="28" t="n">
        <v>4.1</v>
      </c>
      <c r="H43" s="26" t="n">
        <v>0.984</v>
      </c>
    </row>
    <row r="44">
      <c r="A44" s="15" t="n">
        <v>17</v>
      </c>
      <c r="B44" s="6" t="inlineStr">
        <is>
          <t>Evening</t>
        </is>
      </c>
      <c r="C44" s="15" t="n">
        <v>578</v>
      </c>
      <c r="D44" s="15" t="n">
        <v>565374.48</v>
      </c>
      <c r="E44" s="15" t="n">
        <v>978.16</v>
      </c>
      <c r="F44" s="29" t="n">
        <v>53.4</v>
      </c>
      <c r="G44" s="28" t="n">
        <v>3.85</v>
      </c>
      <c r="H44" s="26" t="n">
        <v>0.925</v>
      </c>
    </row>
    <row r="45">
      <c r="A45" s="15" t="n">
        <v>18</v>
      </c>
      <c r="B45" s="6" t="inlineStr">
        <is>
          <t>Evening</t>
        </is>
      </c>
      <c r="C45" s="15" t="n">
        <v>663</v>
      </c>
      <c r="D45" s="15" t="n">
        <v>698847.62</v>
      </c>
      <c r="E45" s="15" t="n">
        <v>1054.07</v>
      </c>
      <c r="F45" s="29" t="n">
        <v>53.8</v>
      </c>
      <c r="G45" s="28" t="n">
        <v>4.42</v>
      </c>
      <c r="H45" s="26" t="n">
        <v>1.061</v>
      </c>
    </row>
    <row r="46">
      <c r="A46" s="15" t="n">
        <v>19</v>
      </c>
      <c r="B46" s="6" t="inlineStr">
        <is>
          <t>Evening</t>
        </is>
      </c>
      <c r="C46" s="15" t="n">
        <v>625</v>
      </c>
      <c r="D46" s="15" t="n">
        <v>651597.63</v>
      </c>
      <c r="E46" s="15" t="n">
        <v>1042.56</v>
      </c>
      <c r="F46" s="29" t="n">
        <v>53.8</v>
      </c>
      <c r="G46" s="28" t="n">
        <v>4.17</v>
      </c>
      <c r="H46" s="26" t="n">
        <v>1</v>
      </c>
    </row>
    <row r="47">
      <c r="A47" s="15" t="n">
        <v>20</v>
      </c>
      <c r="B47" s="6" t="inlineStr">
        <is>
          <t>Evening</t>
        </is>
      </c>
      <c r="C47" s="15" t="n">
        <v>626</v>
      </c>
      <c r="D47" s="15" t="n">
        <v>652802.2</v>
      </c>
      <c r="E47" s="15" t="n">
        <v>1042.82</v>
      </c>
      <c r="F47" s="29" t="n">
        <v>53.7</v>
      </c>
      <c r="G47" s="28" t="n">
        <v>4.17</v>
      </c>
      <c r="H47" s="26" t="n">
        <v>1.002</v>
      </c>
    </row>
    <row r="48">
      <c r="A48" s="15" t="n">
        <v>21</v>
      </c>
      <c r="B48" s="6" t="inlineStr">
        <is>
          <t>Evening</t>
        </is>
      </c>
      <c r="C48" s="15" t="n">
        <v>621</v>
      </c>
      <c r="D48" s="15" t="n">
        <v>636434.5699999999</v>
      </c>
      <c r="E48" s="15" t="n">
        <v>1024.85</v>
      </c>
      <c r="F48" s="29" t="n">
        <v>53.2</v>
      </c>
      <c r="G48" s="28" t="n">
        <v>4.14</v>
      </c>
      <c r="H48" s="26" t="n">
        <v>0.994</v>
      </c>
    </row>
    <row r="49">
      <c r="A49" s="15" t="n">
        <v>22</v>
      </c>
      <c r="B49" s="6" t="inlineStr">
        <is>
          <t>Night</t>
        </is>
      </c>
      <c r="C49" s="15" t="n">
        <v>628</v>
      </c>
      <c r="D49" s="15" t="n">
        <v>651266.01</v>
      </c>
      <c r="E49" s="15" t="n">
        <v>1037.05</v>
      </c>
      <c r="F49" s="29" t="n">
        <v>52.3</v>
      </c>
      <c r="G49" s="28" t="n">
        <v>4.19</v>
      </c>
      <c r="H49" s="26" t="n">
        <v>1.005</v>
      </c>
    </row>
    <row r="50">
      <c r="A50" s="15" t="n">
        <v>23</v>
      </c>
      <c r="B50" s="6" t="inlineStr">
        <is>
          <t>Night</t>
        </is>
      </c>
      <c r="C50" s="15" t="n">
        <v>611</v>
      </c>
      <c r="D50" s="15" t="n">
        <v>637398.5699999999</v>
      </c>
      <c r="E50" s="15" t="n">
        <v>1043.21</v>
      </c>
      <c r="F50" s="29" t="n">
        <v>51.1</v>
      </c>
      <c r="G50" s="28" t="n">
        <v>4.07</v>
      </c>
      <c r="H50" s="26" t="n">
        <v>0.978</v>
      </c>
    </row>
    <row r="51"/>
    <row r="52"/>
    <row r="53" ht="22" customHeight="1">
      <c r="A53" s="3" t="inlineStr">
        <is>
          <t>DAY OF WEEK</t>
        </is>
      </c>
    </row>
    <row r="54" ht="28" customHeight="1">
      <c r="A54" s="7" t="inlineStr">
        <is>
          <t>Day</t>
        </is>
      </c>
      <c r="B54" s="7" t="inlineStr">
        <is>
          <t>#</t>
        </is>
      </c>
      <c r="C54" s="7" t="inlineStr">
        <is>
          <t>Weekend?</t>
        </is>
      </c>
      <c r="D54" s="7" t="inlineStr">
        <is>
          <t>Orders</t>
        </is>
      </c>
      <c r="E54" s="7" t="inlineStr">
        <is>
          <t>Revenue</t>
        </is>
      </c>
      <c r="F54" s="7" t="inlineStr">
        <is>
          <t>AOV</t>
        </is>
      </c>
      <c r="G54" s="7" t="inlineStr">
        <is>
          <t>Active days</t>
        </is>
      </c>
      <c r="H54" s="7" t="inlineStr">
        <is>
          <t>Orders per day</t>
        </is>
      </c>
    </row>
    <row r="55">
      <c r="A55" s="6" t="inlineStr">
        <is>
          <t>Monday</t>
        </is>
      </c>
      <c r="B55" s="6" t="n">
        <v>0</v>
      </c>
      <c r="C55" s="6" t="n">
        <v>0</v>
      </c>
      <c r="D55" s="15" t="n">
        <v>2103</v>
      </c>
      <c r="E55" s="15" t="n">
        <v>2185162.83</v>
      </c>
      <c r="F55" s="15" t="n">
        <v>1039.07</v>
      </c>
      <c r="G55" s="15" t="n">
        <v>48</v>
      </c>
      <c r="H55" s="29" t="n">
        <v>43.8</v>
      </c>
    </row>
    <row r="56">
      <c r="A56" s="6" t="inlineStr">
        <is>
          <t>Tuesday</t>
        </is>
      </c>
      <c r="B56" s="6" t="n">
        <v>1</v>
      </c>
      <c r="C56" s="6" t="n">
        <v>0</v>
      </c>
      <c r="D56" s="15" t="n">
        <v>2136</v>
      </c>
      <c r="E56" s="15" t="n">
        <v>2226431.41</v>
      </c>
      <c r="F56" s="15" t="n">
        <v>1042.34</v>
      </c>
      <c r="G56" s="15" t="n">
        <v>48</v>
      </c>
      <c r="H56" s="29" t="n">
        <v>44.5</v>
      </c>
    </row>
    <row r="57">
      <c r="A57" s="6" t="inlineStr">
        <is>
          <t>Wednesday</t>
        </is>
      </c>
      <c r="B57" s="6" t="n">
        <v>2</v>
      </c>
      <c r="C57" s="6" t="n">
        <v>0</v>
      </c>
      <c r="D57" s="15" t="n">
        <v>2130</v>
      </c>
      <c r="E57" s="15" t="n">
        <v>2229409.67</v>
      </c>
      <c r="F57" s="15" t="n">
        <v>1046.67</v>
      </c>
      <c r="G57" s="15" t="n">
        <v>48</v>
      </c>
      <c r="H57" s="29" t="n">
        <v>44.4</v>
      </c>
    </row>
    <row r="58">
      <c r="A58" s="6" t="inlineStr">
        <is>
          <t>Thursday</t>
        </is>
      </c>
      <c r="B58" s="6" t="n">
        <v>3</v>
      </c>
      <c r="C58" s="6" t="n">
        <v>0</v>
      </c>
      <c r="D58" s="15" t="n">
        <v>2157</v>
      </c>
      <c r="E58" s="15" t="n">
        <v>2236498.22</v>
      </c>
      <c r="F58" s="15" t="n">
        <v>1036.86</v>
      </c>
      <c r="G58" s="15" t="n">
        <v>48</v>
      </c>
      <c r="H58" s="29" t="n">
        <v>44.9</v>
      </c>
    </row>
    <row r="59">
      <c r="A59" s="6" t="inlineStr">
        <is>
          <t>Friday</t>
        </is>
      </c>
      <c r="B59" s="6" t="n">
        <v>4</v>
      </c>
      <c r="C59" s="6" t="n">
        <v>0</v>
      </c>
      <c r="D59" s="15" t="n">
        <v>2184</v>
      </c>
      <c r="E59" s="15" t="n">
        <v>2271438.95</v>
      </c>
      <c r="F59" s="15" t="n">
        <v>1040.04</v>
      </c>
      <c r="G59" s="15" t="n">
        <v>48</v>
      </c>
      <c r="H59" s="29" t="n">
        <v>45.5</v>
      </c>
    </row>
    <row r="60">
      <c r="A60" s="6" t="inlineStr">
        <is>
          <t>Saturday</t>
        </is>
      </c>
      <c r="B60" s="6" t="n">
        <v>5</v>
      </c>
      <c r="C60" s="6" t="n">
        <v>1</v>
      </c>
      <c r="D60" s="15" t="n">
        <v>2177</v>
      </c>
      <c r="E60" s="15" t="n">
        <v>2229717.44</v>
      </c>
      <c r="F60" s="15" t="n">
        <v>1024.22</v>
      </c>
      <c r="G60" s="15" t="n">
        <v>48</v>
      </c>
      <c r="H60" s="29" t="n">
        <v>45.4</v>
      </c>
    </row>
    <row r="61">
      <c r="A61" s="6" t="inlineStr">
        <is>
          <t>Sunday</t>
        </is>
      </c>
      <c r="B61" s="6" t="n">
        <v>6</v>
      </c>
      <c r="C61" s="6" t="n">
        <v>1</v>
      </c>
      <c r="D61" s="15" t="n">
        <v>2113</v>
      </c>
      <c r="E61" s="15" t="n">
        <v>2195228.12</v>
      </c>
      <c r="F61" s="15" t="n">
        <v>1038.92</v>
      </c>
      <c r="G61" s="15" t="n">
        <v>48</v>
      </c>
      <c r="H61" s="29" t="n">
        <v>44</v>
      </c>
    </row>
    <row r="62"/>
    <row r="63">
      <c r="A63" s="8" t="inlineStr">
        <is>
          <t>Friday is the busiest day at 2,184 orders and Monday the quietest at 2,103 - a 3.9% gap. Normalised per active day the weekend runs 44.7 orders against 44.6 on weekdays, so the classic food-delivery weekend lift is absent here.</t>
        </is>
      </c>
    </row>
  </sheetData>
  <mergeCells count="17">
    <mergeCell ref="A4:B4"/>
    <mergeCell ref="G4:H4"/>
    <mergeCell ref="E4:F4"/>
    <mergeCell ref="A22:K22"/>
    <mergeCell ref="I4:J4"/>
    <mergeCell ref="A53:K53"/>
    <mergeCell ref="A7:K7"/>
    <mergeCell ref="A25:K25"/>
    <mergeCell ref="C5:D5"/>
    <mergeCell ref="A5:B5"/>
    <mergeCell ref="A2:K2"/>
    <mergeCell ref="E5:F5"/>
    <mergeCell ref="G5:H5"/>
    <mergeCell ref="I5:J5"/>
    <mergeCell ref="A63:K63"/>
    <mergeCell ref="A1:K1"/>
    <mergeCell ref="C4:D4"/>
  </mergeCells>
  <conditionalFormatting sqref="C27:C50">
    <cfRule type="dataBar" priority="1">
      <dataBar>
        <cfvo type="num" val="0"/>
        <cfvo type="max"/>
        <color rgb="002E75B6"/>
      </dataBar>
    </cfRule>
  </conditionalFormatting>
  <pageMargins left="0.75" right="0.75" top="1" bottom="1" header="0.5" footer="0.5"/>
  <tableParts count="3">
    <tablePart xmlns:r="http://schemas.openxmlformats.org/officeDocument/2006/relationships" r:id="rId1"/>
    <tablePart xmlns:r="http://schemas.openxmlformats.org/officeDocument/2006/relationships" r:id="rId2"/>
    <tablePart xmlns:r="http://schemas.openxmlformats.org/officeDocument/2006/relationships" r:id="rId3"/>
  </tableParts>
</worksheet>
</file>

<file path=xl/worksheets/sheet8.xml><?xml version="1.0" encoding="utf-8"?>
<worksheet xmlns="http://schemas.openxmlformats.org/spreadsheetml/2006/main">
  <sheetPr>
    <outlinePr summaryBelow="1" summaryRight="1"/>
    <pageSetUpPr/>
  </sheetPr>
  <dimension ref="A1:J38"/>
  <sheetViews>
    <sheetView showGridLines="0" workbookViewId="0">
      <selection activeCell="A1" sqref="A1"/>
    </sheetView>
  </sheetViews>
  <sheetFormatPr baseColWidth="8" defaultRowHeight="15"/>
  <cols>
    <col width="34" customWidth="1" min="1" max="1"/>
    <col width="19" customWidth="1" min="2" max="2"/>
    <col width="16" customWidth="1" min="3" max="3"/>
    <col width="23" customWidth="1" min="4" max="4"/>
    <col width="34" customWidth="1" min="5" max="5"/>
    <col width="25" customWidth="1" min="6" max="6"/>
    <col width="20" customWidth="1" min="7" max="7"/>
    <col width="9" customWidth="1" min="8" max="8"/>
    <col width="9" customWidth="1" min="9" max="9"/>
    <col width="9" customWidth="1" min="10" max="10"/>
  </cols>
  <sheetData>
    <row r="1" ht="30" customHeight="1">
      <c r="A1" s="1" t="inlineStr">
        <is>
          <t>Power BI Task 4 - What Drives Rating?</t>
        </is>
      </c>
    </row>
    <row r="2">
      <c r="A2" s="2" t="inlineStr">
        <is>
          <t>Pearson correlations built in SQL, delivery-time buckets, and the published-vs-actual gap</t>
        </is>
      </c>
    </row>
    <row r="3"/>
    <row r="4" ht="22" customHeight="1">
      <c r="A4" s="3" t="inlineStr">
        <is>
          <t>CORRELATION MATRIX - FACTORS VS PUBLISHED RESTAURANT RATING</t>
        </is>
      </c>
    </row>
    <row r="5" ht="28" customHeight="1">
      <c r="A5" s="5" t="inlineStr">
        <is>
          <t>Factor</t>
        </is>
      </c>
      <c r="B5" s="5" t="inlineStr">
        <is>
          <t>n</t>
        </is>
      </c>
      <c r="C5" s="5" t="inlineStr">
        <is>
          <t>Pearson r</t>
        </is>
      </c>
      <c r="D5" s="5" t="inlineStr">
        <is>
          <t>Variance explained %</t>
        </is>
      </c>
      <c r="E5" s="5" t="inlineStr">
        <is>
          <t>Strength</t>
        </is>
      </c>
    </row>
    <row r="6">
      <c r="A6" s="6" t="inlineStr">
        <is>
          <t>Customer rating given</t>
        </is>
      </c>
      <c r="B6" s="15" t="n">
        <v>500</v>
      </c>
      <c r="C6" s="32" t="n">
        <v>0.0872</v>
      </c>
      <c r="D6" s="28" t="n">
        <v>0.76</v>
      </c>
      <c r="E6" s="6" t="inlineStr">
        <is>
          <t>None - statistically indistinguishable from zero</t>
        </is>
      </c>
    </row>
    <row r="7">
      <c r="A7" s="6" t="inlineStr">
        <is>
          <t>Avg order value</t>
        </is>
      </c>
      <c r="B7" s="15" t="n">
        <v>500</v>
      </c>
      <c r="C7" s="32" t="n">
        <v>-0.0467</v>
      </c>
      <c r="D7" s="28" t="n">
        <v>0.22</v>
      </c>
      <c r="E7" s="6" t="inlineStr">
        <is>
          <t>None - statistically indistinguishable from zero</t>
        </is>
      </c>
    </row>
    <row r="8">
      <c r="A8" s="6" t="inlineStr">
        <is>
          <t>Total ratings count</t>
        </is>
      </c>
      <c r="B8" s="15" t="n">
        <v>500</v>
      </c>
      <c r="C8" s="32" t="n">
        <v>-0.0333</v>
      </c>
      <c r="D8" s="28" t="n">
        <v>0.11</v>
      </c>
      <c r="E8" s="6" t="inlineStr">
        <is>
          <t>None - statistically indistinguishable from zero</t>
        </is>
      </c>
    </row>
    <row r="9">
      <c r="A9" s="6" t="inlineStr">
        <is>
          <t>Orders received</t>
        </is>
      </c>
      <c r="B9" s="15" t="n">
        <v>500</v>
      </c>
      <c r="C9" s="32" t="n">
        <v>0.0308</v>
      </c>
      <c r="D9" s="28" t="n">
        <v>0.09</v>
      </c>
      <c r="E9" s="6" t="inlineStr">
        <is>
          <t>None - statistically indistinguishable from zero</t>
        </is>
      </c>
    </row>
    <row r="10">
      <c r="A10" s="6" t="inlineStr">
        <is>
          <t>Items per order</t>
        </is>
      </c>
      <c r="B10" s="15" t="n">
        <v>500</v>
      </c>
      <c r="C10" s="32" t="n">
        <v>-0.0156</v>
      </c>
      <c r="D10" s="28" t="n">
        <v>0.02</v>
      </c>
      <c r="E10" s="6" t="inlineStr">
        <is>
          <t>None - statistically indistinguishable from zero</t>
        </is>
      </c>
    </row>
    <row r="11">
      <c r="A11" s="6" t="inlineStr">
        <is>
          <t>Avg delivery time</t>
        </is>
      </c>
      <c r="B11" s="15" t="n">
        <v>500</v>
      </c>
      <c r="C11" s="32" t="n">
        <v>-0.0053</v>
      </c>
      <c r="D11" s="28" t="n">
        <v>0</v>
      </c>
      <c r="E11" s="6" t="inlineStr">
        <is>
          <t>None - statistically indistinguishable from zero</t>
        </is>
      </c>
    </row>
    <row r="12">
      <c r="A12" s="6" t="inlineStr">
        <is>
          <t>Total revenue</t>
        </is>
      </c>
      <c r="B12" s="15" t="n">
        <v>500</v>
      </c>
      <c r="C12" s="32" t="n">
        <v>0.0027</v>
      </c>
      <c r="D12" s="28" t="n">
        <v>0</v>
      </c>
      <c r="E12" s="6" t="inlineStr">
        <is>
          <t>None - statistically indistinguishable from zero</t>
        </is>
      </c>
    </row>
    <row r="13"/>
    <row r="14"/>
    <row r="15">
      <c r="A15" s="8" t="inlineStr">
        <is>
          <t>Every candidate driver returns a correlation under 0.087, explaining less than 0.8% of the variance in rating. Price does not buy a better score, volume does not, and neither does speed. SQLite has no CORR(), so Pearson r is computed from sums of squares and cross-products inside the query.</t>
        </is>
      </c>
    </row>
    <row r="16"/>
    <row r="17"/>
    <row r="18" ht="22" customHeight="1">
      <c r="A18" s="3" t="inlineStr">
        <is>
          <t>DOES FASTER DELIVERY EARN A BETTER RATING?</t>
        </is>
      </c>
    </row>
    <row r="19" ht="28" customHeight="1">
      <c r="A19" s="7" t="inlineStr">
        <is>
          <t>Delivery band</t>
        </is>
      </c>
      <c r="B19" s="7" t="inlineStr">
        <is>
          <t>Orders</t>
        </is>
      </c>
      <c r="C19" s="7" t="inlineStr">
        <is>
          <t>Min min</t>
        </is>
      </c>
      <c r="D19" s="7" t="inlineStr">
        <is>
          <t>Max min</t>
        </is>
      </c>
      <c r="E19" s="7" t="inlineStr">
        <is>
          <t>Avg rating</t>
        </is>
      </c>
      <c r="F19" s="7" t="inlineStr">
        <is>
          <t>AOV</t>
        </is>
      </c>
      <c r="G19" s="7" t="inlineStr">
        <is>
          <t>Rating vs overall</t>
        </is>
      </c>
    </row>
    <row r="20">
      <c r="A20" s="6" t="inlineStr">
        <is>
          <t>&lt;=30 min</t>
        </is>
      </c>
      <c r="B20" s="15" t="n">
        <v>3189</v>
      </c>
      <c r="C20" s="33" t="n">
        <v>15</v>
      </c>
      <c r="D20" s="33" t="n">
        <v>30</v>
      </c>
      <c r="E20" s="26" t="n">
        <v>2.984</v>
      </c>
      <c r="F20" s="15" t="n">
        <v>1054.53</v>
      </c>
      <c r="G20" s="26" t="n">
        <v>-0.02</v>
      </c>
    </row>
    <row r="21">
      <c r="A21" s="6" t="inlineStr">
        <is>
          <t>31-45 min</t>
        </is>
      </c>
      <c r="B21" s="15" t="n">
        <v>2983</v>
      </c>
      <c r="C21" s="33" t="n">
        <v>31</v>
      </c>
      <c r="D21" s="33" t="n">
        <v>45</v>
      </c>
      <c r="E21" s="26" t="n">
        <v>3.012</v>
      </c>
      <c r="F21" s="15" t="n">
        <v>1021.26</v>
      </c>
      <c r="G21" s="26" t="n">
        <v>0.007</v>
      </c>
    </row>
    <row r="22">
      <c r="A22" s="6" t="inlineStr">
        <is>
          <t>46-60 min</t>
        </is>
      </c>
      <c r="B22" s="15" t="n">
        <v>2900</v>
      </c>
      <c r="C22" s="33" t="n">
        <v>46</v>
      </c>
      <c r="D22" s="33" t="n">
        <v>60</v>
      </c>
      <c r="E22" s="26" t="n">
        <v>3.007</v>
      </c>
      <c r="F22" s="15" t="n">
        <v>1039.98</v>
      </c>
      <c r="G22" s="26" t="n">
        <v>0.002</v>
      </c>
    </row>
    <row r="23">
      <c r="A23" s="6" t="inlineStr">
        <is>
          <t>61-75 min</t>
        </is>
      </c>
      <c r="B23" s="15" t="n">
        <v>2965</v>
      </c>
      <c r="C23" s="33" t="n">
        <v>61</v>
      </c>
      <c r="D23" s="33" t="n">
        <v>75</v>
      </c>
      <c r="E23" s="26" t="n">
        <v>3.029</v>
      </c>
      <c r="F23" s="15" t="n">
        <v>1038.24</v>
      </c>
      <c r="G23" s="26" t="n">
        <v>0.024</v>
      </c>
    </row>
    <row r="24">
      <c r="A24" s="6" t="inlineStr">
        <is>
          <t>76-90 min</t>
        </is>
      </c>
      <c r="B24" s="15" t="n">
        <v>2963</v>
      </c>
      <c r="C24" s="33" t="n">
        <v>76</v>
      </c>
      <c r="D24" s="33" t="n">
        <v>90</v>
      </c>
      <c r="E24" s="26" t="n">
        <v>2.994</v>
      </c>
      <c r="F24" s="15" t="n">
        <v>1036.19</v>
      </c>
      <c r="G24" s="26" t="n">
        <v>-0.011</v>
      </c>
    </row>
    <row r="25"/>
    <row r="26">
      <c r="A26" s="8" t="inlineStr">
        <is>
          <t>If speed mattered the rating column would fall as delivery time rises. Instead orders delivered in 30 minutes or less score 2.984 while those taking 61-75 minutes score 3.029 - the slower band rates HIGHER. The total spread across all five bands is 0.045 stars, which is noise. ANOVA confirms no detectable difference.</t>
        </is>
      </c>
    </row>
    <row r="27"/>
    <row r="28"/>
    <row r="29"/>
    <row r="30" ht="22" customHeight="1">
      <c r="A30" s="3" t="inlineStr">
        <is>
          <t>PUBLISHED RATING VS ACTUAL ORDER RATING BY CITY</t>
        </is>
      </c>
    </row>
    <row r="31" ht="28" customHeight="1">
      <c r="A31" s="27" t="inlineStr">
        <is>
          <t>City</t>
        </is>
      </c>
      <c r="B31" s="27" t="inlineStr">
        <is>
          <t>Published rating</t>
        </is>
      </c>
      <c r="C31" s="27" t="inlineStr">
        <is>
          <t>Actual rating</t>
        </is>
      </c>
      <c r="D31" s="27" t="inlineStr">
        <is>
          <t>Gap</t>
        </is>
      </c>
      <c r="E31" s="27" t="inlineStr">
        <is>
          <t>Orders</t>
        </is>
      </c>
      <c r="F31" s="27" t="inlineStr">
        <is>
          <t>Orders below published</t>
        </is>
      </c>
      <c r="G31" s="27" t="inlineStr">
        <is>
          <t>% below</t>
        </is>
      </c>
    </row>
    <row r="32">
      <c r="A32" s="6" t="inlineStr">
        <is>
          <t>Chennai</t>
        </is>
      </c>
      <c r="B32" s="26" t="n">
        <v>3.877</v>
      </c>
      <c r="C32" s="26" t="n">
        <v>3.014</v>
      </c>
      <c r="D32" s="26" t="n">
        <v>-0.863</v>
      </c>
      <c r="E32" s="15" t="n">
        <v>2727</v>
      </c>
      <c r="F32" s="15" t="n">
        <v>1908</v>
      </c>
      <c r="G32" s="28" t="n">
        <v>69.97</v>
      </c>
    </row>
    <row r="33">
      <c r="A33" s="6" t="inlineStr">
        <is>
          <t>Mumbai</t>
        </is>
      </c>
      <c r="B33" s="26" t="n">
        <v>3.756</v>
      </c>
      <c r="C33" s="26" t="n">
        <v>2.978</v>
      </c>
      <c r="D33" s="26" t="n">
        <v>-0.778</v>
      </c>
      <c r="E33" s="15" t="n">
        <v>3384</v>
      </c>
      <c r="F33" s="15" t="n">
        <v>2333</v>
      </c>
      <c r="G33" s="28" t="n">
        <v>68.94</v>
      </c>
    </row>
    <row r="34">
      <c r="A34" s="6" t="inlineStr">
        <is>
          <t>Delhi</t>
        </is>
      </c>
      <c r="B34" s="26" t="n">
        <v>3.778</v>
      </c>
      <c r="C34" s="26" t="n">
        <v>3.02</v>
      </c>
      <c r="D34" s="26" t="n">
        <v>-0.759</v>
      </c>
      <c r="E34" s="15" t="n">
        <v>2857</v>
      </c>
      <c r="F34" s="15" t="n">
        <v>1940</v>
      </c>
      <c r="G34" s="28" t="n">
        <v>67.90000000000001</v>
      </c>
    </row>
    <row r="35">
      <c r="A35" s="6" t="inlineStr">
        <is>
          <t>Bangalore</t>
        </is>
      </c>
      <c r="B35" s="26" t="n">
        <v>3.748</v>
      </c>
      <c r="C35" s="26" t="n">
        <v>3.012</v>
      </c>
      <c r="D35" s="26" t="n">
        <v>-0.736</v>
      </c>
      <c r="E35" s="15" t="n">
        <v>3300</v>
      </c>
      <c r="F35" s="15" t="n">
        <v>2213</v>
      </c>
      <c r="G35" s="28" t="n">
        <v>67.06</v>
      </c>
    </row>
    <row r="36">
      <c r="A36" s="6" t="inlineStr">
        <is>
          <t>Kolkata</t>
        </is>
      </c>
      <c r="B36" s="26" t="n">
        <v>3.639</v>
      </c>
      <c r="C36" s="26" t="n">
        <v>3.004</v>
      </c>
      <c r="D36" s="26" t="n">
        <v>-0.635</v>
      </c>
      <c r="E36" s="15" t="n">
        <v>2732</v>
      </c>
      <c r="F36" s="15" t="n">
        <v>1762</v>
      </c>
      <c r="G36" s="28" t="n">
        <v>64.48999999999999</v>
      </c>
    </row>
    <row r="37"/>
    <row r="38">
      <c r="A38" s="8" t="inlineStr">
        <is>
          <t>This is the only statistically overwhelming result in the project (t = -68.1, p &lt; 0.001) and it is also the one most likely to be misread. The honest explanation is a definition artefact: published avg_rating never falls below 2.5 stars while an individual order can score 1.0, so the two columns have different floors and therefore different means. It is NOT evidence that restaurants inflate their reputation.</t>
        </is>
      </c>
    </row>
  </sheetData>
  <mergeCells count="8">
    <mergeCell ref="A1:J1"/>
    <mergeCell ref="A18:J18"/>
    <mergeCell ref="A30:J30"/>
    <mergeCell ref="A15:J15"/>
    <mergeCell ref="A4:J4"/>
    <mergeCell ref="A26:J26"/>
    <mergeCell ref="A38:J38"/>
    <mergeCell ref="A2:J2"/>
  </mergeCells>
  <conditionalFormatting sqref="C6:C12">
    <cfRule type="colorScale" priority="1">
      <colorScale>
        <cfvo type="num" val="-0.1"/>
        <cfvo type="num" val="0"/>
        <cfvo type="num" val="0.1"/>
        <color rgb="00F8696B"/>
        <color rgb="00FFFFFF"/>
        <color rgb="0063BE7B"/>
      </colorScale>
    </cfRule>
  </conditionalFormatting>
  <pageMargins left="0.75" right="0.75" top="1" bottom="1" header="0.5" footer="0.5"/>
  <tableParts count="3">
    <tablePart xmlns:r="http://schemas.openxmlformats.org/officeDocument/2006/relationships" r:id="rId1"/>
    <tablePart xmlns:r="http://schemas.openxmlformats.org/officeDocument/2006/relationships" r:id="rId2"/>
    <tablePart xmlns:r="http://schemas.openxmlformats.org/officeDocument/2006/relationships" r:id="rId3"/>
  </tableParts>
</worksheet>
</file>

<file path=xl/worksheets/sheet9.xml><?xml version="1.0" encoding="utf-8"?>
<worksheet xmlns="http://schemas.openxmlformats.org/spreadsheetml/2006/main">
  <sheetPr>
    <outlinePr summaryBelow="1" summaryRight="1"/>
    <pageSetUpPr/>
  </sheetPr>
  <dimension ref="A1:Q101"/>
  <sheetViews>
    <sheetView showGridLines="0" workbookViewId="0">
      <selection activeCell="A1" sqref="A1"/>
    </sheetView>
  </sheetViews>
  <sheetFormatPr baseColWidth="8" defaultRowHeight="15"/>
  <cols>
    <col width="34" customWidth="1" min="1" max="1"/>
    <col width="17" customWidth="1" min="2" max="2"/>
    <col width="22" customWidth="1" min="3" max="3"/>
    <col width="13" customWidth="1" min="4" max="4"/>
    <col width="29" customWidth="1" min="5" max="5"/>
    <col width="12" customWidth="1" min="6" max="6"/>
    <col width="13" customWidth="1" min="7" max="7"/>
    <col width="11" customWidth="1" min="8" max="8"/>
    <col width="25" customWidth="1" min="9" max="9"/>
    <col width="22" customWidth="1" min="10" max="10"/>
    <col width="23" customWidth="1" min="11" max="11"/>
    <col width="19" customWidth="1" min="12" max="12"/>
    <col width="16" customWidth="1" min="13" max="13"/>
    <col width="13" customWidth="1" min="14" max="14"/>
    <col width="9" customWidth="1" min="15" max="15"/>
    <col width="13" customWidth="1" min="16" max="16"/>
    <col width="19" customWidth="1" min="17" max="17"/>
  </cols>
  <sheetData>
    <row r="1" ht="30" customHeight="1">
      <c r="A1" s="1" t="inlineStr">
        <is>
          <t>Power BI Tasks 5 &amp; 9 - Restaurant Performance</t>
        </is>
      </c>
    </row>
    <row r="2">
      <c r="A2" s="2" t="inlineStr">
        <is>
          <t>Top earners with a noise test, the full sales table, and the order distribution</t>
        </is>
      </c>
    </row>
    <row r="3"/>
    <row r="4" ht="18" customHeight="1">
      <c r="A4" s="9" t="inlineStr">
        <is>
          <t>RESTAURANTS</t>
        </is>
      </c>
      <c r="B4" s="10" t="n"/>
      <c r="C4" s="18" t="inlineStr">
        <is>
          <t>ORDERS / RESTAURANT</t>
        </is>
      </c>
      <c r="D4" s="10" t="n"/>
      <c r="E4" s="20" t="inlineStr">
        <is>
          <t>MIN ORDERS</t>
        </is>
      </c>
      <c r="F4" s="10" t="n"/>
      <c r="G4" s="11" t="inlineStr">
        <is>
          <t>MAX ORDERS</t>
        </is>
      </c>
      <c r="H4" s="10" t="n"/>
      <c r="I4" s="12" t="inlineStr">
        <is>
          <t>TOP 10% REVENUE SHARE</t>
        </is>
      </c>
      <c r="J4" s="10" t="n"/>
    </row>
    <row r="5" ht="30" customHeight="1">
      <c r="A5" s="13" t="n">
        <v>500</v>
      </c>
      <c r="B5" s="10" t="n"/>
      <c r="C5" s="19" t="n">
        <v>30</v>
      </c>
      <c r="D5" s="10" t="n"/>
      <c r="E5" s="13" t="n">
        <v>13</v>
      </c>
      <c r="F5" s="10" t="n"/>
      <c r="G5" s="13" t="n">
        <v>50</v>
      </c>
      <c r="H5" s="10" t="n"/>
      <c r="I5" s="14" t="n">
        <v>13.7</v>
      </c>
      <c r="J5" s="10" t="n"/>
    </row>
    <row r="6"/>
    <row r="7" ht="22" customHeight="1">
      <c r="A7" s="3" t="inlineStr">
        <is>
          <t>TASK 5 - TOP 10 BY REVENUE, WITH A NOISE TEST</t>
        </is>
      </c>
    </row>
    <row r="8" ht="28" customHeight="1">
      <c r="A8" s="34" t="inlineStr">
        <is>
          <t>Rank</t>
        </is>
      </c>
      <c r="B8" s="34" t="inlineStr">
        <is>
          <t>Restaurant</t>
        </is>
      </c>
      <c r="C8" s="34" t="inlineStr">
        <is>
          <t>City</t>
        </is>
      </c>
      <c r="D8" s="34" t="inlineStr">
        <is>
          <t>Cuisine</t>
        </is>
      </c>
      <c r="E8" s="34" t="inlineStr">
        <is>
          <t>Price range</t>
        </is>
      </c>
      <c r="F8" s="34" t="inlineStr">
        <is>
          <t>Orders</t>
        </is>
      </c>
      <c r="G8" s="34" t="inlineStr">
        <is>
          <t>Revenue</t>
        </is>
      </c>
      <c r="H8" s="34" t="inlineStr">
        <is>
          <t>AOV</t>
        </is>
      </c>
      <c r="I8" s="34" t="inlineStr">
        <is>
          <t>% above avg restaurant</t>
        </is>
      </c>
      <c r="J8" s="34" t="inlineStr">
        <is>
          <t>Order count z-score</t>
        </is>
      </c>
      <c r="K8" s="34" t="inlineStr">
        <is>
          <t>Cumulative revenue %</t>
        </is>
      </c>
    </row>
    <row r="9">
      <c r="A9" s="6" t="n">
        <v>1</v>
      </c>
      <c r="B9" s="6" t="inlineStr">
        <is>
          <t>Restaurant_116</t>
        </is>
      </c>
      <c r="C9" s="6" t="inlineStr">
        <is>
          <t>Bangalore</t>
        </is>
      </c>
      <c r="D9" s="6" t="inlineStr">
        <is>
          <t>Indian</t>
        </is>
      </c>
      <c r="E9" s="6" t="inlineStr">
        <is>
          <t>Low</t>
        </is>
      </c>
      <c r="F9" s="15" t="n">
        <v>46</v>
      </c>
      <c r="G9" s="15" t="n">
        <v>50931.26</v>
      </c>
      <c r="H9" s="15" t="n">
        <v>1107.2</v>
      </c>
      <c r="I9" s="29" t="n">
        <v>63.5</v>
      </c>
      <c r="J9" s="30" t="n">
        <v>2.92</v>
      </c>
      <c r="K9" s="28" t="n">
        <v>0.33</v>
      </c>
    </row>
    <row r="10">
      <c r="A10" s="6" t="n">
        <v>2</v>
      </c>
      <c r="B10" s="6" t="inlineStr">
        <is>
          <t>Restaurant_262</t>
        </is>
      </c>
      <c r="C10" s="6" t="inlineStr">
        <is>
          <t>Bangalore</t>
        </is>
      </c>
      <c r="D10" s="6" t="inlineStr">
        <is>
          <t>Mexican</t>
        </is>
      </c>
      <c r="E10" s="6" t="inlineStr">
        <is>
          <t>Medium</t>
        </is>
      </c>
      <c r="F10" s="15" t="n">
        <v>41</v>
      </c>
      <c r="G10" s="15" t="n">
        <v>48860.24</v>
      </c>
      <c r="H10" s="15" t="n">
        <v>1191.71</v>
      </c>
      <c r="I10" s="29" t="n">
        <v>56.9</v>
      </c>
      <c r="J10" s="30" t="n">
        <v>2.01</v>
      </c>
      <c r="K10" s="28" t="n">
        <v>0.64</v>
      </c>
    </row>
    <row r="11">
      <c r="A11" s="6" t="n">
        <v>3</v>
      </c>
      <c r="B11" s="6" t="inlineStr">
        <is>
          <t>Restaurant_56</t>
        </is>
      </c>
      <c r="C11" s="6" t="inlineStr">
        <is>
          <t>Mumbai</t>
        </is>
      </c>
      <c r="D11" s="6" t="inlineStr">
        <is>
          <t>Thai</t>
        </is>
      </c>
      <c r="E11" s="6" t="inlineStr">
        <is>
          <t>Low</t>
        </is>
      </c>
      <c r="F11" s="15" t="n">
        <v>44</v>
      </c>
      <c r="G11" s="15" t="n">
        <v>48645.78</v>
      </c>
      <c r="H11" s="15" t="n">
        <v>1105.59</v>
      </c>
      <c r="I11" s="29" t="n">
        <v>56.2</v>
      </c>
      <c r="J11" s="30" t="n">
        <v>2.56</v>
      </c>
      <c r="K11" s="28" t="n">
        <v>0.95</v>
      </c>
    </row>
    <row r="12">
      <c r="A12" s="6" t="n">
        <v>4</v>
      </c>
      <c r="B12" s="6" t="inlineStr">
        <is>
          <t>Restaurant_27</t>
        </is>
      </c>
      <c r="C12" s="6" t="inlineStr">
        <is>
          <t>Delhi</t>
        </is>
      </c>
      <c r="D12" s="6" t="inlineStr">
        <is>
          <t>Italian</t>
        </is>
      </c>
      <c r="E12" s="6" t="inlineStr">
        <is>
          <t>High</t>
        </is>
      </c>
      <c r="F12" s="15" t="n">
        <v>43</v>
      </c>
      <c r="G12" s="15" t="n">
        <v>48562.1</v>
      </c>
      <c r="H12" s="15" t="n">
        <v>1129.35</v>
      </c>
      <c r="I12" s="29" t="n">
        <v>55.9</v>
      </c>
      <c r="J12" s="30" t="n">
        <v>2.37</v>
      </c>
      <c r="K12" s="28" t="n">
        <v>1.26</v>
      </c>
    </row>
    <row r="13">
      <c r="A13" s="6" t="n">
        <v>5</v>
      </c>
      <c r="B13" s="6" t="inlineStr">
        <is>
          <t>Restaurant_127</t>
        </is>
      </c>
      <c r="C13" s="6" t="inlineStr">
        <is>
          <t>Bangalore</t>
        </is>
      </c>
      <c r="D13" s="6" t="inlineStr">
        <is>
          <t>Indian</t>
        </is>
      </c>
      <c r="E13" s="6" t="inlineStr">
        <is>
          <t>High</t>
        </is>
      </c>
      <c r="F13" s="15" t="n">
        <v>50</v>
      </c>
      <c r="G13" s="15" t="n">
        <v>48203.2</v>
      </c>
      <c r="H13" s="15" t="n">
        <v>964.0599999999999</v>
      </c>
      <c r="I13" s="29" t="n">
        <v>54.8</v>
      </c>
      <c r="J13" s="30" t="n">
        <v>3.65</v>
      </c>
      <c r="K13" s="28" t="n">
        <v>1.57</v>
      </c>
    </row>
    <row r="14">
      <c r="A14" s="6" t="n">
        <v>6</v>
      </c>
      <c r="B14" s="6" t="inlineStr">
        <is>
          <t>Restaurant_141</t>
        </is>
      </c>
      <c r="C14" s="6" t="inlineStr">
        <is>
          <t>Delhi</t>
        </is>
      </c>
      <c r="D14" s="6" t="inlineStr">
        <is>
          <t>Thai</t>
        </is>
      </c>
      <c r="E14" s="6" t="inlineStr">
        <is>
          <t>High</t>
        </is>
      </c>
      <c r="F14" s="15" t="n">
        <v>40</v>
      </c>
      <c r="G14" s="15" t="n">
        <v>47153.34</v>
      </c>
      <c r="H14" s="15" t="n">
        <v>1178.83</v>
      </c>
      <c r="I14" s="29" t="n">
        <v>51.4</v>
      </c>
      <c r="J14" s="30" t="n">
        <v>1.83</v>
      </c>
      <c r="K14" s="28" t="n">
        <v>1.88</v>
      </c>
    </row>
    <row r="15">
      <c r="A15" s="6" t="n">
        <v>7</v>
      </c>
      <c r="B15" s="6" t="inlineStr">
        <is>
          <t>Restaurant_208</t>
        </is>
      </c>
      <c r="C15" s="6" t="inlineStr">
        <is>
          <t>Kolkata</t>
        </is>
      </c>
      <c r="D15" s="6" t="inlineStr">
        <is>
          <t>Italian</t>
        </is>
      </c>
      <c r="E15" s="6" t="inlineStr">
        <is>
          <t>High</t>
        </is>
      </c>
      <c r="F15" s="15" t="n">
        <v>45</v>
      </c>
      <c r="G15" s="15" t="n">
        <v>47065.02</v>
      </c>
      <c r="H15" s="15" t="n">
        <v>1045.89</v>
      </c>
      <c r="I15" s="29" t="n">
        <v>51.1</v>
      </c>
      <c r="J15" s="30" t="n">
        <v>2.74</v>
      </c>
      <c r="K15" s="28" t="n">
        <v>2.18</v>
      </c>
    </row>
    <row r="16">
      <c r="A16" s="6" t="n">
        <v>8</v>
      </c>
      <c r="B16" s="6" t="inlineStr">
        <is>
          <t>Restaurant_396</t>
        </is>
      </c>
      <c r="C16" s="6" t="inlineStr">
        <is>
          <t>Delhi</t>
        </is>
      </c>
      <c r="D16" s="6" t="inlineStr">
        <is>
          <t>Italian</t>
        </is>
      </c>
      <c r="E16" s="6" t="inlineStr">
        <is>
          <t>Medium</t>
        </is>
      </c>
      <c r="F16" s="15" t="n">
        <v>40</v>
      </c>
      <c r="G16" s="15" t="n">
        <v>46774.97</v>
      </c>
      <c r="H16" s="15" t="n">
        <v>1169.37</v>
      </c>
      <c r="I16" s="29" t="n">
        <v>50.2</v>
      </c>
      <c r="J16" s="30" t="n">
        <v>1.83</v>
      </c>
      <c r="K16" s="28" t="n">
        <v>2.48</v>
      </c>
    </row>
    <row r="17">
      <c r="A17" s="6" t="n">
        <v>9</v>
      </c>
      <c r="B17" s="6" t="inlineStr">
        <is>
          <t>Restaurant_48</t>
        </is>
      </c>
      <c r="C17" s="6" t="inlineStr">
        <is>
          <t>Mumbai</t>
        </is>
      </c>
      <c r="D17" s="6" t="inlineStr">
        <is>
          <t>Chinese</t>
        </is>
      </c>
      <c r="E17" s="6" t="inlineStr">
        <is>
          <t>High</t>
        </is>
      </c>
      <c r="F17" s="15" t="n">
        <v>39</v>
      </c>
      <c r="G17" s="15" t="n">
        <v>44596.81</v>
      </c>
      <c r="H17" s="15" t="n">
        <v>1143.51</v>
      </c>
      <c r="I17" s="29" t="n">
        <v>43.2</v>
      </c>
      <c r="J17" s="30" t="n">
        <v>1.64</v>
      </c>
      <c r="K17" s="28" t="n">
        <v>2.77</v>
      </c>
    </row>
    <row r="18">
      <c r="A18" s="6" t="n">
        <v>10</v>
      </c>
      <c r="B18" s="6" t="inlineStr">
        <is>
          <t>Restaurant_455</t>
        </is>
      </c>
      <c r="C18" s="6" t="inlineStr">
        <is>
          <t>Mumbai</t>
        </is>
      </c>
      <c r="D18" s="6" t="inlineStr">
        <is>
          <t>Thai</t>
        </is>
      </c>
      <c r="E18" s="6" t="inlineStr">
        <is>
          <t>High</t>
        </is>
      </c>
      <c r="F18" s="15" t="n">
        <v>40</v>
      </c>
      <c r="G18" s="15" t="n">
        <v>44281.73</v>
      </c>
      <c r="H18" s="15" t="n">
        <v>1107.04</v>
      </c>
      <c r="I18" s="29" t="n">
        <v>42.2</v>
      </c>
      <c r="J18" s="30" t="n">
        <v>1.83</v>
      </c>
      <c r="K18" s="28" t="n">
        <v>3.05</v>
      </c>
    </row>
    <row r="19"/>
    <row r="20">
      <c r="A20" s="8" t="inlineStr">
        <is>
          <t>The z-score column is the honest part. If order arrivals follow a Poisson process with a mean of 30, the standard deviation is sqrt(30) = 5.5. The observed standard deviation across all 500 restaurants is 5.6 - essentially identical. So the #1 restaurant's 46 orders sits 2.9 standard deviations above the mean, which is exactly what you expect as the maximum of 500 random draws. The leaderboard measures luck, not quality.</t>
        </is>
      </c>
    </row>
    <row r="21"/>
    <row r="22"/>
    <row r="23"/>
    <row r="24" ht="22" customHeight="1">
      <c r="A24" s="3" t="inlineStr">
        <is>
          <t>ORDER-COUNT DISTRIBUTION ACROSS THE NETWORK</t>
        </is>
      </c>
    </row>
    <row r="25" ht="28" customHeight="1">
      <c r="A25" s="7" t="inlineStr">
        <is>
          <t>Orders per restaurant</t>
        </is>
      </c>
      <c r="B25" s="7" t="inlineStr">
        <is>
          <t>Restaurants</t>
        </is>
      </c>
      <c r="C25" s="7" t="inlineStr">
        <is>
          <t>Orders</t>
        </is>
      </c>
      <c r="D25" s="7" t="inlineStr">
        <is>
          <t>Revenue</t>
        </is>
      </c>
      <c r="E25" s="7" t="inlineStr">
        <is>
          <t>Avg revenue per restaurant</t>
        </is>
      </c>
    </row>
    <row r="26">
      <c r="A26" s="6" t="inlineStr">
        <is>
          <t>A. Under 20</t>
        </is>
      </c>
      <c r="B26" s="15" t="n">
        <v>10</v>
      </c>
      <c r="C26" s="15" t="n">
        <v>165</v>
      </c>
      <c r="D26" s="15" t="n">
        <v>171706.98</v>
      </c>
      <c r="E26" s="15" t="n">
        <v>17170.7</v>
      </c>
    </row>
    <row r="27">
      <c r="A27" s="6" t="inlineStr">
        <is>
          <t>B. 20-24</t>
        </is>
      </c>
      <c r="B27" s="15" t="n">
        <v>75</v>
      </c>
      <c r="C27" s="15" t="n">
        <v>1703</v>
      </c>
      <c r="D27" s="15" t="n">
        <v>1745729.25</v>
      </c>
      <c r="E27" s="15" t="n">
        <v>23276.39</v>
      </c>
    </row>
    <row r="28">
      <c r="A28" s="6" t="inlineStr">
        <is>
          <t>C. 25-29</t>
        </is>
      </c>
      <c r="B28" s="15" t="n">
        <v>148</v>
      </c>
      <c r="C28" s="15" t="n">
        <v>4002</v>
      </c>
      <c r="D28" s="15" t="n">
        <v>4210886.28</v>
      </c>
      <c r="E28" s="15" t="n">
        <v>28451.93</v>
      </c>
    </row>
    <row r="29">
      <c r="A29" s="6" t="inlineStr">
        <is>
          <t>D. 30-34</t>
        </is>
      </c>
      <c r="B29" s="15" t="n">
        <v>162</v>
      </c>
      <c r="C29" s="15" t="n">
        <v>5176</v>
      </c>
      <c r="D29" s="15" t="n">
        <v>5368704.47</v>
      </c>
      <c r="E29" s="15" t="n">
        <v>33140.15</v>
      </c>
    </row>
    <row r="30">
      <c r="A30" s="6" t="inlineStr">
        <is>
          <t>E. 35-39</t>
        </is>
      </c>
      <c r="B30" s="15" t="n">
        <v>86</v>
      </c>
      <c r="C30" s="15" t="n">
        <v>3158</v>
      </c>
      <c r="D30" s="15" t="n">
        <v>3246829.59</v>
      </c>
      <c r="E30" s="15" t="n">
        <v>37753.83</v>
      </c>
    </row>
    <row r="31">
      <c r="A31" s="6" t="inlineStr">
        <is>
          <t>F. 40+</t>
        </is>
      </c>
      <c r="B31" s="15" t="n">
        <v>19</v>
      </c>
      <c r="C31" s="15" t="n">
        <v>796</v>
      </c>
      <c r="D31" s="15" t="n">
        <v>830030.0699999999</v>
      </c>
      <c r="E31" s="15" t="n">
        <v>43685.79</v>
      </c>
    </row>
    <row r="32"/>
    <row r="33">
      <c r="A33" s="8" t="inlineStr">
        <is>
          <t>The distribution is a tight bell curve centred on 30 orders, not the power law a real marketplace shows. Only 10 restaurants fall below 20 orders and 19 exceed 40. The top 10% of restaurants hold just 13.7% of revenue, where a live platform typically concentrates 40-60%. This market has no star performers and no failing tail.</t>
        </is>
      </c>
    </row>
    <row r="34"/>
    <row r="35"/>
    <row r="36"/>
    <row r="37" ht="22" customHeight="1">
      <c r="A37" s="3" t="inlineStr">
        <is>
          <t>TASK 9 - RESTAURANT SALES SUMMARY (TOP 60 OF 500)</t>
        </is>
      </c>
    </row>
    <row r="38" ht="28" customHeight="1">
      <c r="A38" s="5" t="inlineStr">
        <is>
          <t>Restaurant</t>
        </is>
      </c>
      <c r="B38" s="5" t="inlineStr">
        <is>
          <t>City</t>
        </is>
      </c>
      <c r="C38" s="5" t="inlineStr">
        <is>
          <t>Area</t>
        </is>
      </c>
      <c r="D38" s="5" t="inlineStr">
        <is>
          <t>Cuisine</t>
        </is>
      </c>
      <c r="E38" s="5" t="inlineStr">
        <is>
          <t>Price range</t>
        </is>
      </c>
      <c r="F38" s="5" t="inlineStr">
        <is>
          <t>Delivery?</t>
        </is>
      </c>
      <c r="G38" s="5" t="inlineStr">
        <is>
          <t>Orders</t>
        </is>
      </c>
      <c r="H38" s="5" t="inlineStr">
        <is>
          <t>Revenue</t>
        </is>
      </c>
      <c r="I38" s="5" t="inlineStr">
        <is>
          <t>AOV</t>
        </is>
      </c>
      <c r="J38" s="5" t="inlineStr">
        <is>
          <t>Avg items</t>
        </is>
      </c>
      <c r="K38" s="5" t="inlineStr">
        <is>
          <t>Avg delivery</t>
        </is>
      </c>
      <c r="L38" s="5" t="inlineStr">
        <is>
          <t>Published rating</t>
        </is>
      </c>
      <c r="M38" s="5" t="inlineStr">
        <is>
          <t>Actual rating</t>
        </is>
      </c>
      <c r="N38" s="5" t="inlineStr">
        <is>
          <t>Rating gap</t>
        </is>
      </c>
      <c r="O38" s="5" t="inlineStr">
        <is>
          <t>Rank</t>
        </is>
      </c>
      <c r="P38" s="5" t="inlineStr">
        <is>
          <t>Percentile</t>
        </is>
      </c>
      <c r="Q38" s="5" t="inlineStr">
        <is>
          <t>Performance band</t>
        </is>
      </c>
    </row>
    <row r="39">
      <c r="A39" s="6" t="inlineStr">
        <is>
          <t>Restaurant_116</t>
        </is>
      </c>
      <c r="B39" s="6" t="inlineStr">
        <is>
          <t>Bangalore</t>
        </is>
      </c>
      <c r="C39" s="6" t="inlineStr">
        <is>
          <t>Area_C</t>
        </is>
      </c>
      <c r="D39" s="6" t="inlineStr">
        <is>
          <t>Indian</t>
        </is>
      </c>
      <c r="E39" s="6" t="inlineStr">
        <is>
          <t>Low</t>
        </is>
      </c>
      <c r="F39" s="6" t="inlineStr">
        <is>
          <t>No</t>
        </is>
      </c>
      <c r="G39" s="15" t="n">
        <v>46</v>
      </c>
      <c r="H39" s="15" t="n">
        <v>50931.26</v>
      </c>
      <c r="I39" s="15" t="n">
        <v>1107.2</v>
      </c>
      <c r="J39" s="30" t="n">
        <v>5.83</v>
      </c>
      <c r="K39" s="29" t="n">
        <v>52.8</v>
      </c>
      <c r="L39" s="29" t="n">
        <v>4.8</v>
      </c>
      <c r="M39" s="30" t="n">
        <v>3.25</v>
      </c>
      <c r="N39" s="30" t="n">
        <v>-1.55</v>
      </c>
      <c r="O39" s="6" t="n">
        <v>1</v>
      </c>
      <c r="P39" s="29" t="n">
        <v>100</v>
      </c>
      <c r="Q39" s="6" t="inlineStr">
        <is>
          <t>Top 10%</t>
        </is>
      </c>
    </row>
    <row r="40">
      <c r="A40" s="6" t="inlineStr">
        <is>
          <t>Restaurant_262</t>
        </is>
      </c>
      <c r="B40" s="6" t="inlineStr">
        <is>
          <t>Bangalore</t>
        </is>
      </c>
      <c r="C40" s="6" t="inlineStr">
        <is>
          <t>Area_D</t>
        </is>
      </c>
      <c r="D40" s="6" t="inlineStr">
        <is>
          <t>Mexican</t>
        </is>
      </c>
      <c r="E40" s="6" t="inlineStr">
        <is>
          <t>Medium</t>
        </is>
      </c>
      <c r="F40" s="6" t="inlineStr">
        <is>
          <t>No</t>
        </is>
      </c>
      <c r="G40" s="15" t="n">
        <v>41</v>
      </c>
      <c r="H40" s="15" t="n">
        <v>48860.24</v>
      </c>
      <c r="I40" s="15" t="n">
        <v>1191.71</v>
      </c>
      <c r="J40" s="30" t="n">
        <v>4.66</v>
      </c>
      <c r="K40" s="29" t="n">
        <v>52.7</v>
      </c>
      <c r="L40" s="29" t="n">
        <v>2.5</v>
      </c>
      <c r="M40" s="30" t="n">
        <v>3.12</v>
      </c>
      <c r="N40" s="30" t="n">
        <v>0.62</v>
      </c>
      <c r="O40" s="6" t="n">
        <v>2</v>
      </c>
      <c r="P40" s="29" t="n">
        <v>99.8</v>
      </c>
      <c r="Q40" s="6" t="inlineStr">
        <is>
          <t>Top 10%</t>
        </is>
      </c>
    </row>
    <row r="41">
      <c r="A41" s="6" t="inlineStr">
        <is>
          <t>Restaurant_56</t>
        </is>
      </c>
      <c r="B41" s="6" t="inlineStr">
        <is>
          <t>Mumbai</t>
        </is>
      </c>
      <c r="C41" s="6" t="inlineStr">
        <is>
          <t>Area_E</t>
        </is>
      </c>
      <c r="D41" s="6" t="inlineStr">
        <is>
          <t>Thai</t>
        </is>
      </c>
      <c r="E41" s="6" t="inlineStr">
        <is>
          <t>Low</t>
        </is>
      </c>
      <c r="F41" s="6" t="inlineStr">
        <is>
          <t>Yes</t>
        </is>
      </c>
      <c r="G41" s="15" t="n">
        <v>44</v>
      </c>
      <c r="H41" s="15" t="n">
        <v>48645.78</v>
      </c>
      <c r="I41" s="15" t="n">
        <v>1105.59</v>
      </c>
      <c r="J41" s="30" t="n">
        <v>5.91</v>
      </c>
      <c r="K41" s="29" t="n">
        <v>57.4</v>
      </c>
      <c r="L41" s="29" t="n">
        <v>4.6</v>
      </c>
      <c r="M41" s="30" t="n">
        <v>2.78</v>
      </c>
      <c r="N41" s="30" t="n">
        <v>-1.82</v>
      </c>
      <c r="O41" s="6" t="n">
        <v>3</v>
      </c>
      <c r="P41" s="29" t="n">
        <v>99.59999999999999</v>
      </c>
      <c r="Q41" s="6" t="inlineStr">
        <is>
          <t>Top 10%</t>
        </is>
      </c>
    </row>
    <row r="42">
      <c r="A42" s="6" t="inlineStr">
        <is>
          <t>Restaurant_27</t>
        </is>
      </c>
      <c r="B42" s="6" t="inlineStr">
        <is>
          <t>Delhi</t>
        </is>
      </c>
      <c r="C42" s="6" t="inlineStr">
        <is>
          <t>Area_E</t>
        </is>
      </c>
      <c r="D42" s="6" t="inlineStr">
        <is>
          <t>Italian</t>
        </is>
      </c>
      <c r="E42" s="6" t="inlineStr">
        <is>
          <t>High</t>
        </is>
      </c>
      <c r="F42" s="6" t="inlineStr">
        <is>
          <t>No</t>
        </is>
      </c>
      <c r="G42" s="15" t="n">
        <v>43</v>
      </c>
      <c r="H42" s="15" t="n">
        <v>48562.1</v>
      </c>
      <c r="I42" s="15" t="n">
        <v>1129.35</v>
      </c>
      <c r="J42" s="30" t="n">
        <v>5.86</v>
      </c>
      <c r="K42" s="29" t="n">
        <v>54.9</v>
      </c>
      <c r="L42" s="29" t="n">
        <v>2.6</v>
      </c>
      <c r="M42" s="30" t="n">
        <v>2.95</v>
      </c>
      <c r="N42" s="30" t="n">
        <v>0.35</v>
      </c>
      <c r="O42" s="6" t="n">
        <v>4</v>
      </c>
      <c r="P42" s="29" t="n">
        <v>99.40000000000001</v>
      </c>
      <c r="Q42" s="6" t="inlineStr">
        <is>
          <t>Top 10%</t>
        </is>
      </c>
    </row>
    <row r="43">
      <c r="A43" s="6" t="inlineStr">
        <is>
          <t>Restaurant_127</t>
        </is>
      </c>
      <c r="B43" s="6" t="inlineStr">
        <is>
          <t>Bangalore</t>
        </is>
      </c>
      <c r="C43" s="6" t="inlineStr">
        <is>
          <t>Area_B</t>
        </is>
      </c>
      <c r="D43" s="6" t="inlineStr">
        <is>
          <t>Indian</t>
        </is>
      </c>
      <c r="E43" s="6" t="inlineStr">
        <is>
          <t>High</t>
        </is>
      </c>
      <c r="F43" s="6" t="inlineStr">
        <is>
          <t>Yes</t>
        </is>
      </c>
      <c r="G43" s="15" t="n">
        <v>50</v>
      </c>
      <c r="H43" s="15" t="n">
        <v>48203.2</v>
      </c>
      <c r="I43" s="15" t="n">
        <v>964.0599999999999</v>
      </c>
      <c r="J43" s="30" t="n">
        <v>5.18</v>
      </c>
      <c r="K43" s="29" t="n">
        <v>53</v>
      </c>
      <c r="L43" s="29" t="n">
        <v>4.4</v>
      </c>
      <c r="M43" s="30" t="n">
        <v>2.79</v>
      </c>
      <c r="N43" s="30" t="n">
        <v>-1.61</v>
      </c>
      <c r="O43" s="6" t="n">
        <v>5</v>
      </c>
      <c r="P43" s="29" t="n">
        <v>99.2</v>
      </c>
      <c r="Q43" s="6" t="inlineStr">
        <is>
          <t>Top 10%</t>
        </is>
      </c>
    </row>
    <row r="44">
      <c r="A44" s="6" t="inlineStr">
        <is>
          <t>Restaurant_141</t>
        </is>
      </c>
      <c r="B44" s="6" t="inlineStr">
        <is>
          <t>Delhi</t>
        </is>
      </c>
      <c r="C44" s="6" t="inlineStr">
        <is>
          <t>Area_D</t>
        </is>
      </c>
      <c r="D44" s="6" t="inlineStr">
        <is>
          <t>Thai</t>
        </is>
      </c>
      <c r="E44" s="6" t="inlineStr">
        <is>
          <t>High</t>
        </is>
      </c>
      <c r="F44" s="6" t="inlineStr">
        <is>
          <t>Yes</t>
        </is>
      </c>
      <c r="G44" s="15" t="n">
        <v>40</v>
      </c>
      <c r="H44" s="15" t="n">
        <v>47153.34</v>
      </c>
      <c r="I44" s="15" t="n">
        <v>1178.83</v>
      </c>
      <c r="J44" s="30" t="n">
        <v>5.63</v>
      </c>
      <c r="K44" s="29" t="n">
        <v>51.6</v>
      </c>
      <c r="L44" s="29" t="n">
        <v>4.8</v>
      </c>
      <c r="M44" s="30" t="n">
        <v>3.32</v>
      </c>
      <c r="N44" s="30" t="n">
        <v>-1.48</v>
      </c>
      <c r="O44" s="6" t="n">
        <v>6</v>
      </c>
      <c r="P44" s="29" t="n">
        <v>99</v>
      </c>
      <c r="Q44" s="6" t="inlineStr">
        <is>
          <t>Top 10%</t>
        </is>
      </c>
    </row>
    <row r="45">
      <c r="A45" s="6" t="inlineStr">
        <is>
          <t>Restaurant_208</t>
        </is>
      </c>
      <c r="B45" s="6" t="inlineStr">
        <is>
          <t>Kolkata</t>
        </is>
      </c>
      <c r="C45" s="6" t="inlineStr">
        <is>
          <t>Area_E</t>
        </is>
      </c>
      <c r="D45" s="6" t="inlineStr">
        <is>
          <t>Italian</t>
        </is>
      </c>
      <c r="E45" s="6" t="inlineStr">
        <is>
          <t>High</t>
        </is>
      </c>
      <c r="F45" s="6" t="inlineStr">
        <is>
          <t>No</t>
        </is>
      </c>
      <c r="G45" s="15" t="n">
        <v>45</v>
      </c>
      <c r="H45" s="15" t="n">
        <v>47065.02</v>
      </c>
      <c r="I45" s="15" t="n">
        <v>1045.89</v>
      </c>
      <c r="J45" s="30" t="n">
        <v>5.78</v>
      </c>
      <c r="K45" s="29" t="n">
        <v>49</v>
      </c>
      <c r="L45" s="29" t="n">
        <v>4</v>
      </c>
      <c r="M45" s="30" t="n">
        <v>2.89</v>
      </c>
      <c r="N45" s="30" t="n">
        <v>-1.11</v>
      </c>
      <c r="O45" s="6" t="n">
        <v>7</v>
      </c>
      <c r="P45" s="29" t="n">
        <v>98.8</v>
      </c>
      <c r="Q45" s="6" t="inlineStr">
        <is>
          <t>Top 10%</t>
        </is>
      </c>
    </row>
    <row r="46">
      <c r="A46" s="6" t="inlineStr">
        <is>
          <t>Restaurant_396</t>
        </is>
      </c>
      <c r="B46" s="6" t="inlineStr">
        <is>
          <t>Delhi</t>
        </is>
      </c>
      <c r="C46" s="6" t="inlineStr">
        <is>
          <t>Area_E</t>
        </is>
      </c>
      <c r="D46" s="6" t="inlineStr">
        <is>
          <t>Italian</t>
        </is>
      </c>
      <c r="E46" s="6" t="inlineStr">
        <is>
          <t>Medium</t>
        </is>
      </c>
      <c r="F46" s="6" t="inlineStr">
        <is>
          <t>No</t>
        </is>
      </c>
      <c r="G46" s="15" t="n">
        <v>40</v>
      </c>
      <c r="H46" s="15" t="n">
        <v>46774.97</v>
      </c>
      <c r="I46" s="15" t="n">
        <v>1169.37</v>
      </c>
      <c r="J46" s="30" t="n">
        <v>5.42</v>
      </c>
      <c r="K46" s="29" t="n">
        <v>50.3</v>
      </c>
      <c r="L46" s="29" t="n">
        <v>3.7</v>
      </c>
      <c r="M46" s="30" t="n">
        <v>3</v>
      </c>
      <c r="N46" s="30" t="n">
        <v>-0.7</v>
      </c>
      <c r="O46" s="6" t="n">
        <v>8</v>
      </c>
      <c r="P46" s="29" t="n">
        <v>98.59999999999999</v>
      </c>
      <c r="Q46" s="6" t="inlineStr">
        <is>
          <t>Top 10%</t>
        </is>
      </c>
    </row>
    <row r="47">
      <c r="A47" s="6" t="inlineStr">
        <is>
          <t>Restaurant_48</t>
        </is>
      </c>
      <c r="B47" s="6" t="inlineStr">
        <is>
          <t>Mumbai</t>
        </is>
      </c>
      <c r="C47" s="6" t="inlineStr">
        <is>
          <t>Area_A</t>
        </is>
      </c>
      <c r="D47" s="6" t="inlineStr">
        <is>
          <t>Chinese</t>
        </is>
      </c>
      <c r="E47" s="6" t="inlineStr">
        <is>
          <t>High</t>
        </is>
      </c>
      <c r="F47" s="6" t="inlineStr">
        <is>
          <t>Yes</t>
        </is>
      </c>
      <c r="G47" s="15" t="n">
        <v>39</v>
      </c>
      <c r="H47" s="15" t="n">
        <v>44596.81</v>
      </c>
      <c r="I47" s="15" t="n">
        <v>1143.51</v>
      </c>
      <c r="J47" s="30" t="n">
        <v>5.15</v>
      </c>
      <c r="K47" s="29" t="n">
        <v>49.6</v>
      </c>
      <c r="L47" s="29" t="n">
        <v>4.8</v>
      </c>
      <c r="M47" s="30" t="n">
        <v>2.87</v>
      </c>
      <c r="N47" s="30" t="n">
        <v>-1.93</v>
      </c>
      <c r="O47" s="6" t="n">
        <v>9</v>
      </c>
      <c r="P47" s="29" t="n">
        <v>98.40000000000001</v>
      </c>
      <c r="Q47" s="6" t="inlineStr">
        <is>
          <t>Top 10%</t>
        </is>
      </c>
    </row>
    <row r="48">
      <c r="A48" s="6" t="inlineStr">
        <is>
          <t>Restaurant_455</t>
        </is>
      </c>
      <c r="B48" s="6" t="inlineStr">
        <is>
          <t>Mumbai</t>
        </is>
      </c>
      <c r="C48" s="6" t="inlineStr">
        <is>
          <t>Area_D</t>
        </is>
      </c>
      <c r="D48" s="6" t="inlineStr">
        <is>
          <t>Thai</t>
        </is>
      </c>
      <c r="E48" s="6" t="inlineStr">
        <is>
          <t>High</t>
        </is>
      </c>
      <c r="F48" s="6" t="inlineStr">
        <is>
          <t>No</t>
        </is>
      </c>
      <c r="G48" s="15" t="n">
        <v>40</v>
      </c>
      <c r="H48" s="15" t="n">
        <v>44281.73</v>
      </c>
      <c r="I48" s="15" t="n">
        <v>1107.04</v>
      </c>
      <c r="J48" s="30" t="n">
        <v>6.13</v>
      </c>
      <c r="K48" s="29" t="n">
        <v>45.2</v>
      </c>
      <c r="L48" s="29" t="n">
        <v>3.3</v>
      </c>
      <c r="M48" s="30" t="n">
        <v>3.11</v>
      </c>
      <c r="N48" s="30" t="n">
        <v>-0.19</v>
      </c>
      <c r="O48" s="6" t="n">
        <v>10</v>
      </c>
      <c r="P48" s="29" t="n">
        <v>98.2</v>
      </c>
      <c r="Q48" s="6" t="inlineStr">
        <is>
          <t>Top 10%</t>
        </is>
      </c>
    </row>
    <row r="49">
      <c r="A49" s="6" t="inlineStr">
        <is>
          <t>Restaurant_136</t>
        </is>
      </c>
      <c r="B49" s="6" t="inlineStr">
        <is>
          <t>Delhi</t>
        </is>
      </c>
      <c r="C49" s="6" t="inlineStr">
        <is>
          <t>Area_A</t>
        </is>
      </c>
      <c r="D49" s="6" t="inlineStr">
        <is>
          <t>Italian</t>
        </is>
      </c>
      <c r="E49" s="6" t="inlineStr">
        <is>
          <t>High</t>
        </is>
      </c>
      <c r="F49" s="6" t="inlineStr">
        <is>
          <t>Yes</t>
        </is>
      </c>
      <c r="G49" s="15" t="n">
        <v>41</v>
      </c>
      <c r="H49" s="15" t="n">
        <v>44155.08</v>
      </c>
      <c r="I49" s="15" t="n">
        <v>1076.95</v>
      </c>
      <c r="J49" s="30" t="n">
        <v>5.76</v>
      </c>
      <c r="K49" s="29" t="n">
        <v>52.2</v>
      </c>
      <c r="L49" s="29" t="n">
        <v>4.7</v>
      </c>
      <c r="M49" s="30" t="n">
        <v>3.24</v>
      </c>
      <c r="N49" s="30" t="n">
        <v>-1.46</v>
      </c>
      <c r="O49" s="6" t="n">
        <v>11</v>
      </c>
      <c r="P49" s="29" t="n">
        <v>98</v>
      </c>
      <c r="Q49" s="6" t="inlineStr">
        <is>
          <t>Top 10%</t>
        </is>
      </c>
    </row>
    <row r="50">
      <c r="A50" s="6" t="inlineStr">
        <is>
          <t>Restaurant_257</t>
        </is>
      </c>
      <c r="B50" s="6" t="inlineStr">
        <is>
          <t>Mumbai</t>
        </is>
      </c>
      <c r="C50" s="6" t="inlineStr">
        <is>
          <t>Area_A</t>
        </is>
      </c>
      <c r="D50" s="6" t="inlineStr">
        <is>
          <t>Indian</t>
        </is>
      </c>
      <c r="E50" s="6" t="inlineStr">
        <is>
          <t>High</t>
        </is>
      </c>
      <c r="F50" s="6" t="inlineStr">
        <is>
          <t>No</t>
        </is>
      </c>
      <c r="G50" s="15" t="n">
        <v>38</v>
      </c>
      <c r="H50" s="15" t="n">
        <v>44136.9</v>
      </c>
      <c r="I50" s="15" t="n">
        <v>1161.5</v>
      </c>
      <c r="J50" s="30" t="n">
        <v>6.32</v>
      </c>
      <c r="K50" s="29" t="n">
        <v>51.9</v>
      </c>
      <c r="L50" s="29" t="n">
        <v>3.3</v>
      </c>
      <c r="M50" s="30" t="n">
        <v>3.29</v>
      </c>
      <c r="N50" s="30" t="n">
        <v>-0.01</v>
      </c>
      <c r="O50" s="6" t="n">
        <v>12</v>
      </c>
      <c r="P50" s="29" t="n">
        <v>97.8</v>
      </c>
      <c r="Q50" s="6" t="inlineStr">
        <is>
          <t>Top 10%</t>
        </is>
      </c>
    </row>
    <row r="51">
      <c r="A51" s="6" t="inlineStr">
        <is>
          <t>Restaurant_92</t>
        </is>
      </c>
      <c r="B51" s="6" t="inlineStr">
        <is>
          <t>Bangalore</t>
        </is>
      </c>
      <c r="C51" s="6" t="inlineStr">
        <is>
          <t>Area_A</t>
        </is>
      </c>
      <c r="D51" s="6" t="inlineStr">
        <is>
          <t>Thai</t>
        </is>
      </c>
      <c r="E51" s="6" t="inlineStr">
        <is>
          <t>High</t>
        </is>
      </c>
      <c r="F51" s="6" t="inlineStr">
        <is>
          <t>Yes</t>
        </is>
      </c>
      <c r="G51" s="15" t="n">
        <v>38</v>
      </c>
      <c r="H51" s="15" t="n">
        <v>44060.49</v>
      </c>
      <c r="I51" s="15" t="n">
        <v>1159.49</v>
      </c>
      <c r="J51" s="30" t="n">
        <v>5.92</v>
      </c>
      <c r="K51" s="29" t="n">
        <v>55.4</v>
      </c>
      <c r="L51" s="29" t="n">
        <v>4.4</v>
      </c>
      <c r="M51" s="30" t="n">
        <v>2.79</v>
      </c>
      <c r="N51" s="30" t="n">
        <v>-1.61</v>
      </c>
      <c r="O51" s="6" t="n">
        <v>13</v>
      </c>
      <c r="P51" s="29" t="n">
        <v>97.59999999999999</v>
      </c>
      <c r="Q51" s="6" t="inlineStr">
        <is>
          <t>Top 10%</t>
        </is>
      </c>
    </row>
    <row r="52">
      <c r="A52" s="6" t="inlineStr">
        <is>
          <t>Restaurant_82</t>
        </is>
      </c>
      <c r="B52" s="6" t="inlineStr">
        <is>
          <t>Chennai</t>
        </is>
      </c>
      <c r="C52" s="6" t="inlineStr">
        <is>
          <t>Area_A</t>
        </is>
      </c>
      <c r="D52" s="6" t="inlineStr">
        <is>
          <t>Chinese</t>
        </is>
      </c>
      <c r="E52" s="6" t="inlineStr">
        <is>
          <t>Low</t>
        </is>
      </c>
      <c r="F52" s="6" t="inlineStr">
        <is>
          <t>Yes</t>
        </is>
      </c>
      <c r="G52" s="15" t="n">
        <v>39</v>
      </c>
      <c r="H52" s="15" t="n">
        <v>43376.69</v>
      </c>
      <c r="I52" s="15" t="n">
        <v>1112.22</v>
      </c>
      <c r="J52" s="30" t="n">
        <v>5.74</v>
      </c>
      <c r="K52" s="29" t="n">
        <v>50.7</v>
      </c>
      <c r="L52" s="29" t="n">
        <v>4.4</v>
      </c>
      <c r="M52" s="30" t="n">
        <v>3</v>
      </c>
      <c r="N52" s="30" t="n">
        <v>-1.4</v>
      </c>
      <c r="O52" s="6" t="n">
        <v>14</v>
      </c>
      <c r="P52" s="29" t="n">
        <v>97.40000000000001</v>
      </c>
      <c r="Q52" s="6" t="inlineStr">
        <is>
          <t>Top 10%</t>
        </is>
      </c>
    </row>
    <row r="53">
      <c r="A53" s="6" t="inlineStr">
        <is>
          <t>Restaurant_467</t>
        </is>
      </c>
      <c r="B53" s="6" t="inlineStr">
        <is>
          <t>Delhi</t>
        </is>
      </c>
      <c r="C53" s="6" t="inlineStr">
        <is>
          <t>Area_A</t>
        </is>
      </c>
      <c r="D53" s="6" t="inlineStr">
        <is>
          <t>Mexican</t>
        </is>
      </c>
      <c r="E53" s="6" t="inlineStr">
        <is>
          <t>Low</t>
        </is>
      </c>
      <c r="F53" s="6" t="inlineStr">
        <is>
          <t>No</t>
        </is>
      </c>
      <c r="G53" s="15" t="n">
        <v>39</v>
      </c>
      <c r="H53" s="15" t="n">
        <v>43083.12</v>
      </c>
      <c r="I53" s="15" t="n">
        <v>1104.7</v>
      </c>
      <c r="J53" s="30" t="n">
        <v>5.92</v>
      </c>
      <c r="K53" s="29" t="n">
        <v>52.1</v>
      </c>
      <c r="L53" s="29" t="n">
        <v>4.5</v>
      </c>
      <c r="M53" s="30" t="n">
        <v>2.82</v>
      </c>
      <c r="N53" s="30" t="n">
        <v>-1.68</v>
      </c>
      <c r="O53" s="6" t="n">
        <v>15</v>
      </c>
      <c r="P53" s="29" t="n">
        <v>97.2</v>
      </c>
      <c r="Q53" s="6" t="inlineStr">
        <is>
          <t>Top 10%</t>
        </is>
      </c>
    </row>
    <row r="54">
      <c r="A54" s="6" t="inlineStr">
        <is>
          <t>Restaurant_462</t>
        </is>
      </c>
      <c r="B54" s="6" t="inlineStr">
        <is>
          <t>Delhi</t>
        </is>
      </c>
      <c r="C54" s="6" t="inlineStr">
        <is>
          <t>Area_E</t>
        </is>
      </c>
      <c r="D54" s="6" t="inlineStr">
        <is>
          <t>Thai</t>
        </is>
      </c>
      <c r="E54" s="6" t="inlineStr">
        <is>
          <t>High</t>
        </is>
      </c>
      <c r="F54" s="6" t="inlineStr">
        <is>
          <t>Yes</t>
        </is>
      </c>
      <c r="G54" s="15" t="n">
        <v>39</v>
      </c>
      <c r="H54" s="15" t="n">
        <v>43022.24</v>
      </c>
      <c r="I54" s="15" t="n">
        <v>1103.13</v>
      </c>
      <c r="J54" s="30" t="n">
        <v>5.67</v>
      </c>
      <c r="K54" s="29" t="n">
        <v>54.3</v>
      </c>
      <c r="L54" s="29" t="n">
        <v>3.4</v>
      </c>
      <c r="M54" s="30" t="n">
        <v>3.04</v>
      </c>
      <c r="N54" s="30" t="n">
        <v>-0.36</v>
      </c>
      <c r="O54" s="6" t="n">
        <v>16</v>
      </c>
      <c r="P54" s="29" t="n">
        <v>97</v>
      </c>
      <c r="Q54" s="6" t="inlineStr">
        <is>
          <t>Top 10%</t>
        </is>
      </c>
    </row>
    <row r="55">
      <c r="A55" s="6" t="inlineStr">
        <is>
          <t>Restaurant_170</t>
        </is>
      </c>
      <c r="B55" s="6" t="inlineStr">
        <is>
          <t>Chennai</t>
        </is>
      </c>
      <c r="C55" s="6" t="inlineStr">
        <is>
          <t>Area_C</t>
        </is>
      </c>
      <c r="D55" s="6" t="inlineStr">
        <is>
          <t>Chinese</t>
        </is>
      </c>
      <c r="E55" s="6" t="inlineStr">
        <is>
          <t>Medium</t>
        </is>
      </c>
      <c r="F55" s="6" t="inlineStr">
        <is>
          <t>Yes</t>
        </is>
      </c>
      <c r="G55" s="15" t="n">
        <v>40</v>
      </c>
      <c r="H55" s="15" t="n">
        <v>42801.53</v>
      </c>
      <c r="I55" s="15" t="n">
        <v>1070.04</v>
      </c>
      <c r="J55" s="30" t="n">
        <v>5.97</v>
      </c>
      <c r="K55" s="29" t="n">
        <v>56.4</v>
      </c>
      <c r="L55" s="29" t="n">
        <v>4.9</v>
      </c>
      <c r="M55" s="30" t="n">
        <v>3.33</v>
      </c>
      <c r="N55" s="30" t="n">
        <v>-1.57</v>
      </c>
      <c r="O55" s="6" t="n">
        <v>17</v>
      </c>
      <c r="P55" s="29" t="n">
        <v>96.8</v>
      </c>
      <c r="Q55" s="6" t="inlineStr">
        <is>
          <t>Top 10%</t>
        </is>
      </c>
    </row>
    <row r="56">
      <c r="A56" s="6" t="inlineStr">
        <is>
          <t>Restaurant_211</t>
        </is>
      </c>
      <c r="B56" s="6" t="inlineStr">
        <is>
          <t>Chennai</t>
        </is>
      </c>
      <c r="C56" s="6" t="inlineStr">
        <is>
          <t>Area_B</t>
        </is>
      </c>
      <c r="D56" s="6" t="inlineStr">
        <is>
          <t>Indian</t>
        </is>
      </c>
      <c r="E56" s="6" t="inlineStr">
        <is>
          <t>Low</t>
        </is>
      </c>
      <c r="F56" s="6" t="inlineStr">
        <is>
          <t>No</t>
        </is>
      </c>
      <c r="G56" s="15" t="n">
        <v>37</v>
      </c>
      <c r="H56" s="15" t="n">
        <v>42646.15</v>
      </c>
      <c r="I56" s="15" t="n">
        <v>1152.6</v>
      </c>
      <c r="J56" s="30" t="n">
        <v>5.03</v>
      </c>
      <c r="K56" s="29" t="n">
        <v>48.9</v>
      </c>
      <c r="L56" s="29" t="n">
        <v>4.7</v>
      </c>
      <c r="M56" s="30" t="n">
        <v>2.94</v>
      </c>
      <c r="N56" s="30" t="n">
        <v>-1.76</v>
      </c>
      <c r="O56" s="6" t="n">
        <v>18</v>
      </c>
      <c r="P56" s="29" t="n">
        <v>96.59999999999999</v>
      </c>
      <c r="Q56" s="6" t="inlineStr">
        <is>
          <t>Top 10%</t>
        </is>
      </c>
    </row>
    <row r="57">
      <c r="A57" s="6" t="inlineStr">
        <is>
          <t>Restaurant_91</t>
        </is>
      </c>
      <c r="B57" s="6" t="inlineStr">
        <is>
          <t>Kolkata</t>
        </is>
      </c>
      <c r="C57" s="6" t="inlineStr">
        <is>
          <t>Area_A</t>
        </is>
      </c>
      <c r="D57" s="6" t="inlineStr">
        <is>
          <t>Mexican</t>
        </is>
      </c>
      <c r="E57" s="6" t="inlineStr">
        <is>
          <t>Low</t>
        </is>
      </c>
      <c r="F57" s="6" t="inlineStr">
        <is>
          <t>Yes</t>
        </is>
      </c>
      <c r="G57" s="15" t="n">
        <v>36</v>
      </c>
      <c r="H57" s="15" t="n">
        <v>42629.96</v>
      </c>
      <c r="I57" s="15" t="n">
        <v>1184.17</v>
      </c>
      <c r="J57" s="30" t="n">
        <v>4.56</v>
      </c>
      <c r="K57" s="29" t="n">
        <v>50.4</v>
      </c>
      <c r="L57" s="29" t="n">
        <v>2.9</v>
      </c>
      <c r="M57" s="30" t="n">
        <v>2.94</v>
      </c>
      <c r="N57" s="30" t="n">
        <v>0.04</v>
      </c>
      <c r="O57" s="6" t="n">
        <v>19</v>
      </c>
      <c r="P57" s="29" t="n">
        <v>96.40000000000001</v>
      </c>
      <c r="Q57" s="6" t="inlineStr">
        <is>
          <t>Top 10%</t>
        </is>
      </c>
    </row>
    <row r="58">
      <c r="A58" s="6" t="inlineStr">
        <is>
          <t>Restaurant_33</t>
        </is>
      </c>
      <c r="B58" s="6" t="inlineStr">
        <is>
          <t>Bangalore</t>
        </is>
      </c>
      <c r="C58" s="6" t="inlineStr">
        <is>
          <t>Area_D</t>
        </is>
      </c>
      <c r="D58" s="6" t="inlineStr">
        <is>
          <t>Thai</t>
        </is>
      </c>
      <c r="E58" s="6" t="inlineStr">
        <is>
          <t>Low</t>
        </is>
      </c>
      <c r="F58" s="6" t="inlineStr">
        <is>
          <t>No</t>
        </is>
      </c>
      <c r="G58" s="15" t="n">
        <v>38</v>
      </c>
      <c r="H58" s="15" t="n">
        <v>42521.61</v>
      </c>
      <c r="I58" s="15" t="n">
        <v>1118.99</v>
      </c>
      <c r="J58" s="30" t="n">
        <v>5.08</v>
      </c>
      <c r="K58" s="29" t="n">
        <v>52</v>
      </c>
      <c r="L58" s="29" t="n">
        <v>3.4</v>
      </c>
      <c r="M58" s="30" t="n">
        <v>3.12</v>
      </c>
      <c r="N58" s="30" t="n">
        <v>-0.28</v>
      </c>
      <c r="O58" s="6" t="n">
        <v>20</v>
      </c>
      <c r="P58" s="29" t="n">
        <v>96.2</v>
      </c>
      <c r="Q58" s="6" t="inlineStr">
        <is>
          <t>Top 10%</t>
        </is>
      </c>
    </row>
    <row r="59">
      <c r="A59" s="6" t="inlineStr">
        <is>
          <t>Restaurant_368</t>
        </is>
      </c>
      <c r="B59" s="6" t="inlineStr">
        <is>
          <t>Mumbai</t>
        </is>
      </c>
      <c r="C59" s="6" t="inlineStr">
        <is>
          <t>Area_C</t>
        </is>
      </c>
      <c r="D59" s="6" t="inlineStr">
        <is>
          <t>Thai</t>
        </is>
      </c>
      <c r="E59" s="6" t="inlineStr">
        <is>
          <t>Medium</t>
        </is>
      </c>
      <c r="F59" s="6" t="inlineStr">
        <is>
          <t>No</t>
        </is>
      </c>
      <c r="G59" s="15" t="n">
        <v>37</v>
      </c>
      <c r="H59" s="15" t="n">
        <v>41958.25</v>
      </c>
      <c r="I59" s="15" t="n">
        <v>1134.01</v>
      </c>
      <c r="J59" s="30" t="n">
        <v>5.78</v>
      </c>
      <c r="K59" s="29" t="n">
        <v>53.3</v>
      </c>
      <c r="L59" s="29" t="n">
        <v>2.5</v>
      </c>
      <c r="M59" s="30" t="n">
        <v>2.94</v>
      </c>
      <c r="N59" s="30" t="n">
        <v>0.44</v>
      </c>
      <c r="O59" s="6" t="n">
        <v>21</v>
      </c>
      <c r="P59" s="29" t="n">
        <v>96</v>
      </c>
      <c r="Q59" s="6" t="inlineStr">
        <is>
          <t>Top 10%</t>
        </is>
      </c>
    </row>
    <row r="60">
      <c r="A60" s="6" t="inlineStr">
        <is>
          <t>Restaurant_351</t>
        </is>
      </c>
      <c r="B60" s="6" t="inlineStr">
        <is>
          <t>Mumbai</t>
        </is>
      </c>
      <c r="C60" s="6" t="inlineStr">
        <is>
          <t>Area_E</t>
        </is>
      </c>
      <c r="D60" s="6" t="inlineStr">
        <is>
          <t>Thai</t>
        </is>
      </c>
      <c r="E60" s="6" t="inlineStr">
        <is>
          <t>High</t>
        </is>
      </c>
      <c r="F60" s="6" t="inlineStr">
        <is>
          <t>No</t>
        </is>
      </c>
      <c r="G60" s="15" t="n">
        <v>41</v>
      </c>
      <c r="H60" s="15" t="n">
        <v>41945.08</v>
      </c>
      <c r="I60" s="15" t="n">
        <v>1023.05</v>
      </c>
      <c r="J60" s="30" t="n">
        <v>4.63</v>
      </c>
      <c r="K60" s="29" t="n">
        <v>54.3</v>
      </c>
      <c r="L60" s="29" t="n">
        <v>4.2</v>
      </c>
      <c r="M60" s="30" t="n">
        <v>2.92</v>
      </c>
      <c r="N60" s="30" t="n">
        <v>-1.28</v>
      </c>
      <c r="O60" s="6" t="n">
        <v>22</v>
      </c>
      <c r="P60" s="29" t="n">
        <v>95.8</v>
      </c>
      <c r="Q60" s="6" t="inlineStr">
        <is>
          <t>Top 10%</t>
        </is>
      </c>
    </row>
    <row r="61">
      <c r="A61" s="6" t="inlineStr">
        <is>
          <t>Restaurant_323</t>
        </is>
      </c>
      <c r="B61" s="6" t="inlineStr">
        <is>
          <t>Chennai</t>
        </is>
      </c>
      <c r="C61" s="6" t="inlineStr">
        <is>
          <t>Area_A</t>
        </is>
      </c>
      <c r="D61" s="6" t="inlineStr">
        <is>
          <t>Thai</t>
        </is>
      </c>
      <c r="E61" s="6" t="inlineStr">
        <is>
          <t>Medium</t>
        </is>
      </c>
      <c r="F61" s="6" t="inlineStr">
        <is>
          <t>No</t>
        </is>
      </c>
      <c r="G61" s="15" t="n">
        <v>38</v>
      </c>
      <c r="H61" s="15" t="n">
        <v>41882.6</v>
      </c>
      <c r="I61" s="15" t="n">
        <v>1102.17</v>
      </c>
      <c r="J61" s="30" t="n">
        <v>6.5</v>
      </c>
      <c r="K61" s="29" t="n">
        <v>50.9</v>
      </c>
      <c r="L61" s="29" t="n">
        <v>3.9</v>
      </c>
      <c r="M61" s="30" t="n">
        <v>3.23</v>
      </c>
      <c r="N61" s="30" t="n">
        <v>-0.67</v>
      </c>
      <c r="O61" s="6" t="n">
        <v>23</v>
      </c>
      <c r="P61" s="29" t="n">
        <v>95.59999999999999</v>
      </c>
      <c r="Q61" s="6" t="inlineStr">
        <is>
          <t>Top 10%</t>
        </is>
      </c>
    </row>
    <row r="62">
      <c r="A62" s="6" t="inlineStr">
        <is>
          <t>Restaurant_165</t>
        </is>
      </c>
      <c r="B62" s="6" t="inlineStr">
        <is>
          <t>Bangalore</t>
        </is>
      </c>
      <c r="C62" s="6" t="inlineStr">
        <is>
          <t>Area_B</t>
        </is>
      </c>
      <c r="D62" s="6" t="inlineStr">
        <is>
          <t>Italian</t>
        </is>
      </c>
      <c r="E62" s="6" t="inlineStr">
        <is>
          <t>Low</t>
        </is>
      </c>
      <c r="F62" s="6" t="inlineStr">
        <is>
          <t>No</t>
        </is>
      </c>
      <c r="G62" s="15" t="n">
        <v>40</v>
      </c>
      <c r="H62" s="15" t="n">
        <v>41702.84</v>
      </c>
      <c r="I62" s="15" t="n">
        <v>1042.57</v>
      </c>
      <c r="J62" s="30" t="n">
        <v>5.53</v>
      </c>
      <c r="K62" s="29" t="n">
        <v>52.6</v>
      </c>
      <c r="L62" s="29" t="n">
        <v>2.7</v>
      </c>
      <c r="M62" s="30" t="n">
        <v>3.04</v>
      </c>
      <c r="N62" s="30" t="n">
        <v>0.34</v>
      </c>
      <c r="O62" s="6" t="n">
        <v>24</v>
      </c>
      <c r="P62" s="29" t="n">
        <v>95.40000000000001</v>
      </c>
      <c r="Q62" s="6" t="inlineStr">
        <is>
          <t>Top 10%</t>
        </is>
      </c>
    </row>
    <row r="63">
      <c r="A63" s="6" t="inlineStr">
        <is>
          <t>Restaurant_335</t>
        </is>
      </c>
      <c r="B63" s="6" t="inlineStr">
        <is>
          <t>Delhi</t>
        </is>
      </c>
      <c r="C63" s="6" t="inlineStr">
        <is>
          <t>Area_C</t>
        </is>
      </c>
      <c r="D63" s="6" t="inlineStr">
        <is>
          <t>Thai</t>
        </is>
      </c>
      <c r="E63" s="6" t="inlineStr">
        <is>
          <t>Medium</t>
        </is>
      </c>
      <c r="F63" s="6" t="inlineStr">
        <is>
          <t>No</t>
        </is>
      </c>
      <c r="G63" s="15" t="n">
        <v>36</v>
      </c>
      <c r="H63" s="15" t="n">
        <v>41550.04</v>
      </c>
      <c r="I63" s="15" t="n">
        <v>1154.17</v>
      </c>
      <c r="J63" s="30" t="n">
        <v>5.58</v>
      </c>
      <c r="K63" s="29" t="n">
        <v>51.8</v>
      </c>
      <c r="L63" s="29" t="n">
        <v>4.1</v>
      </c>
      <c r="M63" s="30" t="n">
        <v>3.04</v>
      </c>
      <c r="N63" s="30" t="n">
        <v>-1.06</v>
      </c>
      <c r="O63" s="6" t="n">
        <v>25</v>
      </c>
      <c r="P63" s="29" t="n">
        <v>95.2</v>
      </c>
      <c r="Q63" s="6" t="inlineStr">
        <is>
          <t>Top 10%</t>
        </is>
      </c>
    </row>
    <row r="64">
      <c r="A64" s="6" t="inlineStr">
        <is>
          <t>Restaurant_158</t>
        </is>
      </c>
      <c r="B64" s="6" t="inlineStr">
        <is>
          <t>Bangalore</t>
        </is>
      </c>
      <c r="C64" s="6" t="inlineStr">
        <is>
          <t>Area_C</t>
        </is>
      </c>
      <c r="D64" s="6" t="inlineStr">
        <is>
          <t>Chinese</t>
        </is>
      </c>
      <c r="E64" s="6" t="inlineStr">
        <is>
          <t>High</t>
        </is>
      </c>
      <c r="F64" s="6" t="inlineStr">
        <is>
          <t>No</t>
        </is>
      </c>
      <c r="G64" s="15" t="n">
        <v>35</v>
      </c>
      <c r="H64" s="15" t="n">
        <v>41464.11</v>
      </c>
      <c r="I64" s="15" t="n">
        <v>1184.69</v>
      </c>
      <c r="J64" s="30" t="n">
        <v>5.37</v>
      </c>
      <c r="K64" s="29" t="n">
        <v>49.4</v>
      </c>
      <c r="L64" s="29" t="n">
        <v>2.9</v>
      </c>
      <c r="M64" s="30" t="n">
        <v>3.17</v>
      </c>
      <c r="N64" s="30" t="n">
        <v>0.27</v>
      </c>
      <c r="O64" s="6" t="n">
        <v>26</v>
      </c>
      <c r="P64" s="29" t="n">
        <v>95</v>
      </c>
      <c r="Q64" s="6" t="inlineStr">
        <is>
          <t>Top 10%</t>
        </is>
      </c>
    </row>
    <row r="65">
      <c r="A65" s="6" t="inlineStr">
        <is>
          <t>Restaurant_305</t>
        </is>
      </c>
      <c r="B65" s="6" t="inlineStr">
        <is>
          <t>Chennai</t>
        </is>
      </c>
      <c r="C65" s="6" t="inlineStr">
        <is>
          <t>Area_A</t>
        </is>
      </c>
      <c r="D65" s="6" t="inlineStr">
        <is>
          <t>Italian</t>
        </is>
      </c>
      <c r="E65" s="6" t="inlineStr">
        <is>
          <t>Medium</t>
        </is>
      </c>
      <c r="F65" s="6" t="inlineStr">
        <is>
          <t>No</t>
        </is>
      </c>
      <c r="G65" s="15" t="n">
        <v>36</v>
      </c>
      <c r="H65" s="15" t="n">
        <v>41426.25</v>
      </c>
      <c r="I65" s="15" t="n">
        <v>1150.73</v>
      </c>
      <c r="J65" s="30" t="n">
        <v>5.81</v>
      </c>
      <c r="K65" s="29" t="n">
        <v>58.7</v>
      </c>
      <c r="L65" s="29" t="n">
        <v>3.1</v>
      </c>
      <c r="M65" s="30" t="n">
        <v>3.18</v>
      </c>
      <c r="N65" s="30" t="n">
        <v>0.08</v>
      </c>
      <c r="O65" s="6" t="n">
        <v>27</v>
      </c>
      <c r="P65" s="29" t="n">
        <v>94.8</v>
      </c>
      <c r="Q65" s="6" t="inlineStr">
        <is>
          <t>Top 10%</t>
        </is>
      </c>
    </row>
    <row r="66">
      <c r="A66" s="6" t="inlineStr">
        <is>
          <t>Restaurant_30</t>
        </is>
      </c>
      <c r="B66" s="6" t="inlineStr">
        <is>
          <t>Kolkata</t>
        </is>
      </c>
      <c r="C66" s="6" t="inlineStr">
        <is>
          <t>Area_D</t>
        </is>
      </c>
      <c r="D66" s="6" t="inlineStr">
        <is>
          <t>Thai</t>
        </is>
      </c>
      <c r="E66" s="6" t="inlineStr">
        <is>
          <t>Medium</t>
        </is>
      </c>
      <c r="F66" s="6" t="inlineStr">
        <is>
          <t>No</t>
        </is>
      </c>
      <c r="G66" s="15" t="n">
        <v>37</v>
      </c>
      <c r="H66" s="15" t="n">
        <v>41155.49</v>
      </c>
      <c r="I66" s="15" t="n">
        <v>1112.31</v>
      </c>
      <c r="J66" s="30" t="n">
        <v>6.43</v>
      </c>
      <c r="K66" s="29" t="n">
        <v>53.4</v>
      </c>
      <c r="L66" s="29" t="n">
        <v>2.6</v>
      </c>
      <c r="M66" s="30" t="n">
        <v>3.51</v>
      </c>
      <c r="N66" s="30" t="n">
        <v>0.91</v>
      </c>
      <c r="O66" s="6" t="n">
        <v>28</v>
      </c>
      <c r="P66" s="29" t="n">
        <v>94.59999999999999</v>
      </c>
      <c r="Q66" s="6" t="inlineStr">
        <is>
          <t>Top 10%</t>
        </is>
      </c>
    </row>
    <row r="67">
      <c r="A67" s="6" t="inlineStr">
        <is>
          <t>Restaurant_112</t>
        </is>
      </c>
      <c r="B67" s="6" t="inlineStr">
        <is>
          <t>Bangalore</t>
        </is>
      </c>
      <c r="C67" s="6" t="inlineStr">
        <is>
          <t>Area_A</t>
        </is>
      </c>
      <c r="D67" s="6" t="inlineStr">
        <is>
          <t>Thai</t>
        </is>
      </c>
      <c r="E67" s="6" t="inlineStr">
        <is>
          <t>Low</t>
        </is>
      </c>
      <c r="F67" s="6" t="inlineStr">
        <is>
          <t>Yes</t>
        </is>
      </c>
      <c r="G67" s="15" t="n">
        <v>41</v>
      </c>
      <c r="H67" s="15" t="n">
        <v>41000.55</v>
      </c>
      <c r="I67" s="15" t="n">
        <v>1000.01</v>
      </c>
      <c r="J67" s="30" t="n">
        <v>5.98</v>
      </c>
      <c r="K67" s="29" t="n">
        <v>58.5</v>
      </c>
      <c r="L67" s="29" t="n">
        <v>3.9</v>
      </c>
      <c r="M67" s="30" t="n">
        <v>3.06</v>
      </c>
      <c r="N67" s="30" t="n">
        <v>-0.84</v>
      </c>
      <c r="O67" s="6" t="n">
        <v>29</v>
      </c>
      <c r="P67" s="29" t="n">
        <v>94.40000000000001</v>
      </c>
      <c r="Q67" s="6" t="inlineStr">
        <is>
          <t>Top 10%</t>
        </is>
      </c>
    </row>
    <row r="68">
      <c r="A68" s="6" t="inlineStr">
        <is>
          <t>Restaurant_222</t>
        </is>
      </c>
      <c r="B68" s="6" t="inlineStr">
        <is>
          <t>Delhi</t>
        </is>
      </c>
      <c r="C68" s="6" t="inlineStr">
        <is>
          <t>Area_D</t>
        </is>
      </c>
      <c r="D68" s="6" t="inlineStr">
        <is>
          <t>Italian</t>
        </is>
      </c>
      <c r="E68" s="6" t="inlineStr">
        <is>
          <t>Medium</t>
        </is>
      </c>
      <c r="F68" s="6" t="inlineStr">
        <is>
          <t>Yes</t>
        </is>
      </c>
      <c r="G68" s="15" t="n">
        <v>38</v>
      </c>
      <c r="H68" s="15" t="n">
        <v>40930.26</v>
      </c>
      <c r="I68" s="15" t="n">
        <v>1077.11</v>
      </c>
      <c r="J68" s="30" t="n">
        <v>5.82</v>
      </c>
      <c r="K68" s="29" t="n">
        <v>46.8</v>
      </c>
      <c r="L68" s="29" t="n">
        <v>4.1</v>
      </c>
      <c r="M68" s="30" t="n">
        <v>3.01</v>
      </c>
      <c r="N68" s="30" t="n">
        <v>-1.09</v>
      </c>
      <c r="O68" s="6" t="n">
        <v>30</v>
      </c>
      <c r="P68" s="29" t="n">
        <v>94.2</v>
      </c>
      <c r="Q68" s="6" t="inlineStr">
        <is>
          <t>Top 10%</t>
        </is>
      </c>
    </row>
    <row r="69">
      <c r="A69" s="6" t="inlineStr">
        <is>
          <t>Restaurant_69</t>
        </is>
      </c>
      <c r="B69" s="6" t="inlineStr">
        <is>
          <t>Mumbai</t>
        </is>
      </c>
      <c r="C69" s="6" t="inlineStr">
        <is>
          <t>Area_A</t>
        </is>
      </c>
      <c r="D69" s="6" t="inlineStr">
        <is>
          <t>Thai</t>
        </is>
      </c>
      <c r="E69" s="6" t="inlineStr">
        <is>
          <t>Medium</t>
        </is>
      </c>
      <c r="F69" s="6" t="inlineStr">
        <is>
          <t>Yes</t>
        </is>
      </c>
      <c r="G69" s="15" t="n">
        <v>36</v>
      </c>
      <c r="H69" s="15" t="n">
        <v>40880.07</v>
      </c>
      <c r="I69" s="15" t="n">
        <v>1135.56</v>
      </c>
      <c r="J69" s="30" t="n">
        <v>4.94</v>
      </c>
      <c r="K69" s="29" t="n">
        <v>53.5</v>
      </c>
      <c r="L69" s="29" t="n">
        <v>2.5</v>
      </c>
      <c r="M69" s="30" t="n">
        <v>2.9</v>
      </c>
      <c r="N69" s="30" t="n">
        <v>0.4</v>
      </c>
      <c r="O69" s="6" t="n">
        <v>31</v>
      </c>
      <c r="P69" s="29" t="n">
        <v>94</v>
      </c>
      <c r="Q69" s="6" t="inlineStr">
        <is>
          <t>Top 10%</t>
        </is>
      </c>
    </row>
    <row r="70">
      <c r="A70" s="6" t="inlineStr">
        <is>
          <t>Restaurant_258</t>
        </is>
      </c>
      <c r="B70" s="6" t="inlineStr">
        <is>
          <t>Mumbai</t>
        </is>
      </c>
      <c r="C70" s="6" t="inlineStr">
        <is>
          <t>Area_E</t>
        </is>
      </c>
      <c r="D70" s="6" t="inlineStr">
        <is>
          <t>Thai</t>
        </is>
      </c>
      <c r="E70" s="6" t="inlineStr">
        <is>
          <t>High</t>
        </is>
      </c>
      <c r="F70" s="6" t="inlineStr">
        <is>
          <t>No</t>
        </is>
      </c>
      <c r="G70" s="15" t="n">
        <v>34</v>
      </c>
      <c r="H70" s="15" t="n">
        <v>40796.24</v>
      </c>
      <c r="I70" s="15" t="n">
        <v>1199.89</v>
      </c>
      <c r="J70" s="30" t="n">
        <v>5.5</v>
      </c>
      <c r="K70" s="29" t="n">
        <v>56.8</v>
      </c>
      <c r="L70" s="29" t="n">
        <v>4.7</v>
      </c>
      <c r="M70" s="30" t="n">
        <v>2.76</v>
      </c>
      <c r="N70" s="30" t="n">
        <v>-1.94</v>
      </c>
      <c r="O70" s="6" t="n">
        <v>32</v>
      </c>
      <c r="P70" s="29" t="n">
        <v>93.8</v>
      </c>
      <c r="Q70" s="6" t="inlineStr">
        <is>
          <t>Top 10%</t>
        </is>
      </c>
    </row>
    <row r="71">
      <c r="A71" s="6" t="inlineStr">
        <is>
          <t>Restaurant_270</t>
        </is>
      </c>
      <c r="B71" s="6" t="inlineStr">
        <is>
          <t>Delhi</t>
        </is>
      </c>
      <c r="C71" s="6" t="inlineStr">
        <is>
          <t>Area_C</t>
        </is>
      </c>
      <c r="D71" s="6" t="inlineStr">
        <is>
          <t>Mexican</t>
        </is>
      </c>
      <c r="E71" s="6" t="inlineStr">
        <is>
          <t>High</t>
        </is>
      </c>
      <c r="F71" s="6" t="inlineStr">
        <is>
          <t>Yes</t>
        </is>
      </c>
      <c r="G71" s="15" t="n">
        <v>38</v>
      </c>
      <c r="H71" s="15" t="n">
        <v>40791.96</v>
      </c>
      <c r="I71" s="15" t="n">
        <v>1073.47</v>
      </c>
      <c r="J71" s="30" t="n">
        <v>5.45</v>
      </c>
      <c r="K71" s="29" t="n">
        <v>52.4</v>
      </c>
      <c r="L71" s="29" t="n">
        <v>2.9</v>
      </c>
      <c r="M71" s="30" t="n">
        <v>2.8</v>
      </c>
      <c r="N71" s="30" t="n">
        <v>-0.1</v>
      </c>
      <c r="O71" s="6" t="n">
        <v>33</v>
      </c>
      <c r="P71" s="29" t="n">
        <v>93.59999999999999</v>
      </c>
      <c r="Q71" s="6" t="inlineStr">
        <is>
          <t>Top 10%</t>
        </is>
      </c>
    </row>
    <row r="72">
      <c r="A72" s="6" t="inlineStr">
        <is>
          <t>Restaurant_440</t>
        </is>
      </c>
      <c r="B72" s="6" t="inlineStr">
        <is>
          <t>Bangalore</t>
        </is>
      </c>
      <c r="C72" s="6" t="inlineStr">
        <is>
          <t>Area_C</t>
        </is>
      </c>
      <c r="D72" s="6" t="inlineStr">
        <is>
          <t>Mexican</t>
        </is>
      </c>
      <c r="E72" s="6" t="inlineStr">
        <is>
          <t>High</t>
        </is>
      </c>
      <c r="F72" s="6" t="inlineStr">
        <is>
          <t>No</t>
        </is>
      </c>
      <c r="G72" s="15" t="n">
        <v>38</v>
      </c>
      <c r="H72" s="15" t="n">
        <v>40666.3</v>
      </c>
      <c r="I72" s="15" t="n">
        <v>1070.17</v>
      </c>
      <c r="J72" s="30" t="n">
        <v>6.05</v>
      </c>
      <c r="K72" s="29" t="n">
        <v>47.3</v>
      </c>
      <c r="L72" s="29" t="n">
        <v>4.3</v>
      </c>
      <c r="M72" s="30" t="n">
        <v>2.83</v>
      </c>
      <c r="N72" s="30" t="n">
        <v>-1.47</v>
      </c>
      <c r="O72" s="6" t="n">
        <v>34</v>
      </c>
      <c r="P72" s="29" t="n">
        <v>93.40000000000001</v>
      </c>
      <c r="Q72" s="6" t="inlineStr">
        <is>
          <t>Top 10%</t>
        </is>
      </c>
    </row>
    <row r="73">
      <c r="A73" s="6" t="inlineStr">
        <is>
          <t>Restaurant_311</t>
        </is>
      </c>
      <c r="B73" s="6" t="inlineStr">
        <is>
          <t>Mumbai</t>
        </is>
      </c>
      <c r="C73" s="6" t="inlineStr">
        <is>
          <t>Area_D</t>
        </is>
      </c>
      <c r="D73" s="6" t="inlineStr">
        <is>
          <t>Mexican</t>
        </is>
      </c>
      <c r="E73" s="6" t="inlineStr">
        <is>
          <t>High</t>
        </is>
      </c>
      <c r="F73" s="6" t="inlineStr">
        <is>
          <t>Yes</t>
        </is>
      </c>
      <c r="G73" s="15" t="n">
        <v>38</v>
      </c>
      <c r="H73" s="15" t="n">
        <v>40610.61</v>
      </c>
      <c r="I73" s="15" t="n">
        <v>1068.7</v>
      </c>
      <c r="J73" s="30" t="n">
        <v>6.18</v>
      </c>
      <c r="K73" s="29" t="n">
        <v>57.5</v>
      </c>
      <c r="L73" s="29" t="n">
        <v>3.8</v>
      </c>
      <c r="M73" s="30" t="n">
        <v>3.09</v>
      </c>
      <c r="N73" s="30" t="n">
        <v>-0.71</v>
      </c>
      <c r="O73" s="6" t="n">
        <v>35</v>
      </c>
      <c r="P73" s="29" t="n">
        <v>93.2</v>
      </c>
      <c r="Q73" s="6" t="inlineStr">
        <is>
          <t>Top 10%</t>
        </is>
      </c>
    </row>
    <row r="74">
      <c r="A74" s="6" t="inlineStr">
        <is>
          <t>Restaurant_344</t>
        </is>
      </c>
      <c r="B74" s="6" t="inlineStr">
        <is>
          <t>Bangalore</t>
        </is>
      </c>
      <c r="C74" s="6" t="inlineStr">
        <is>
          <t>Area_A</t>
        </is>
      </c>
      <c r="D74" s="6" t="inlineStr">
        <is>
          <t>Thai</t>
        </is>
      </c>
      <c r="E74" s="6" t="inlineStr">
        <is>
          <t>Medium</t>
        </is>
      </c>
      <c r="F74" s="6" t="inlineStr">
        <is>
          <t>No</t>
        </is>
      </c>
      <c r="G74" s="15" t="n">
        <v>38</v>
      </c>
      <c r="H74" s="15" t="n">
        <v>40596.31</v>
      </c>
      <c r="I74" s="15" t="n">
        <v>1068.32</v>
      </c>
      <c r="J74" s="30" t="n">
        <v>5.66</v>
      </c>
      <c r="K74" s="29" t="n">
        <v>49.9</v>
      </c>
      <c r="L74" s="29" t="n">
        <v>3.7</v>
      </c>
      <c r="M74" s="30" t="n">
        <v>3.08</v>
      </c>
      <c r="N74" s="30" t="n">
        <v>-0.62</v>
      </c>
      <c r="O74" s="6" t="n">
        <v>36</v>
      </c>
      <c r="P74" s="29" t="n">
        <v>93</v>
      </c>
      <c r="Q74" s="6" t="inlineStr">
        <is>
          <t>Top 10%</t>
        </is>
      </c>
    </row>
    <row r="75">
      <c r="A75" s="6" t="inlineStr">
        <is>
          <t>Restaurant_6</t>
        </is>
      </c>
      <c r="B75" s="6" t="inlineStr">
        <is>
          <t>Bangalore</t>
        </is>
      </c>
      <c r="C75" s="6" t="inlineStr">
        <is>
          <t>Area_D</t>
        </is>
      </c>
      <c r="D75" s="6" t="inlineStr">
        <is>
          <t>Indian</t>
        </is>
      </c>
      <c r="E75" s="6" t="inlineStr">
        <is>
          <t>High</t>
        </is>
      </c>
      <c r="F75" s="6" t="inlineStr">
        <is>
          <t>Yes</t>
        </is>
      </c>
      <c r="G75" s="15" t="n">
        <v>36</v>
      </c>
      <c r="H75" s="15" t="n">
        <v>40561.73</v>
      </c>
      <c r="I75" s="15" t="n">
        <v>1126.71</v>
      </c>
      <c r="J75" s="30" t="n">
        <v>5.69</v>
      </c>
      <c r="K75" s="29" t="n">
        <v>56.4</v>
      </c>
      <c r="L75" s="29" t="n">
        <v>3.2</v>
      </c>
      <c r="M75" s="30" t="n">
        <v>3.22</v>
      </c>
      <c r="N75" s="30" t="n">
        <v>0.02</v>
      </c>
      <c r="O75" s="6" t="n">
        <v>37</v>
      </c>
      <c r="P75" s="29" t="n">
        <v>92.8</v>
      </c>
      <c r="Q75" s="6" t="inlineStr">
        <is>
          <t>Top 10%</t>
        </is>
      </c>
    </row>
    <row r="76">
      <c r="A76" s="6" t="inlineStr">
        <is>
          <t>Restaurant_96</t>
        </is>
      </c>
      <c r="B76" s="6" t="inlineStr">
        <is>
          <t>Mumbai</t>
        </is>
      </c>
      <c r="C76" s="6" t="inlineStr">
        <is>
          <t>Area_E</t>
        </is>
      </c>
      <c r="D76" s="6" t="inlineStr">
        <is>
          <t>Italian</t>
        </is>
      </c>
      <c r="E76" s="6" t="inlineStr">
        <is>
          <t>Medium</t>
        </is>
      </c>
      <c r="F76" s="6" t="inlineStr">
        <is>
          <t>Yes</t>
        </is>
      </c>
      <c r="G76" s="15" t="n">
        <v>37</v>
      </c>
      <c r="H76" s="15" t="n">
        <v>40557.44</v>
      </c>
      <c r="I76" s="15" t="n">
        <v>1096.15</v>
      </c>
      <c r="J76" s="30" t="n">
        <v>5.38</v>
      </c>
      <c r="K76" s="29" t="n">
        <v>53.6</v>
      </c>
      <c r="L76" s="29" t="n">
        <v>2.8</v>
      </c>
      <c r="M76" s="30" t="n">
        <v>2.85</v>
      </c>
      <c r="N76" s="30" t="n">
        <v>0.05</v>
      </c>
      <c r="O76" s="6" t="n">
        <v>38</v>
      </c>
      <c r="P76" s="29" t="n">
        <v>92.59999999999999</v>
      </c>
      <c r="Q76" s="6" t="inlineStr">
        <is>
          <t>Top 10%</t>
        </is>
      </c>
    </row>
    <row r="77">
      <c r="A77" s="6" t="inlineStr">
        <is>
          <t>Restaurant_469</t>
        </is>
      </c>
      <c r="B77" s="6" t="inlineStr">
        <is>
          <t>Kolkata</t>
        </is>
      </c>
      <c r="C77" s="6" t="inlineStr">
        <is>
          <t>Area_E</t>
        </is>
      </c>
      <c r="D77" s="6" t="inlineStr">
        <is>
          <t>Italian</t>
        </is>
      </c>
      <c r="E77" s="6" t="inlineStr">
        <is>
          <t>Low</t>
        </is>
      </c>
      <c r="F77" s="6" t="inlineStr">
        <is>
          <t>Yes</t>
        </is>
      </c>
      <c r="G77" s="15" t="n">
        <v>39</v>
      </c>
      <c r="H77" s="15" t="n">
        <v>40547.68</v>
      </c>
      <c r="I77" s="15" t="n">
        <v>1039.68</v>
      </c>
      <c r="J77" s="30" t="n">
        <v>5.31</v>
      </c>
      <c r="K77" s="29" t="n">
        <v>47.6</v>
      </c>
      <c r="L77" s="29" t="n">
        <v>4.5</v>
      </c>
      <c r="M77" s="30" t="n">
        <v>2.83</v>
      </c>
      <c r="N77" s="30" t="n">
        <v>-1.67</v>
      </c>
      <c r="O77" s="6" t="n">
        <v>39</v>
      </c>
      <c r="P77" s="29" t="n">
        <v>92.40000000000001</v>
      </c>
      <c r="Q77" s="6" t="inlineStr">
        <is>
          <t>Top 10%</t>
        </is>
      </c>
    </row>
    <row r="78">
      <c r="A78" s="6" t="inlineStr">
        <is>
          <t>Restaurant_79</t>
        </is>
      </c>
      <c r="B78" s="6" t="inlineStr">
        <is>
          <t>Mumbai</t>
        </is>
      </c>
      <c r="C78" s="6" t="inlineStr">
        <is>
          <t>Area_E</t>
        </is>
      </c>
      <c r="D78" s="6" t="inlineStr">
        <is>
          <t>Mexican</t>
        </is>
      </c>
      <c r="E78" s="6" t="inlineStr">
        <is>
          <t>High</t>
        </is>
      </c>
      <c r="F78" s="6" t="inlineStr">
        <is>
          <t>No</t>
        </is>
      </c>
      <c r="G78" s="15" t="n">
        <v>38</v>
      </c>
      <c r="H78" s="15" t="n">
        <v>40491.26</v>
      </c>
      <c r="I78" s="15" t="n">
        <v>1065.56</v>
      </c>
      <c r="J78" s="30" t="n">
        <v>5.63</v>
      </c>
      <c r="K78" s="29" t="n">
        <v>55.8</v>
      </c>
      <c r="L78" s="29" t="n">
        <v>4.5</v>
      </c>
      <c r="M78" s="30" t="n">
        <v>3.07</v>
      </c>
      <c r="N78" s="30" t="n">
        <v>-1.43</v>
      </c>
      <c r="O78" s="6" t="n">
        <v>40</v>
      </c>
      <c r="P78" s="29" t="n">
        <v>92.2</v>
      </c>
      <c r="Q78" s="6" t="inlineStr">
        <is>
          <t>Top 10%</t>
        </is>
      </c>
    </row>
    <row r="79">
      <c r="A79" s="6" t="inlineStr">
        <is>
          <t>Restaurant_152</t>
        </is>
      </c>
      <c r="B79" s="6" t="inlineStr">
        <is>
          <t>Delhi</t>
        </is>
      </c>
      <c r="C79" s="6" t="inlineStr">
        <is>
          <t>Area_D</t>
        </is>
      </c>
      <c r="D79" s="6" t="inlineStr">
        <is>
          <t>Mexican</t>
        </is>
      </c>
      <c r="E79" s="6" t="inlineStr">
        <is>
          <t>Low</t>
        </is>
      </c>
      <c r="F79" s="6" t="inlineStr">
        <is>
          <t>No</t>
        </is>
      </c>
      <c r="G79" s="15" t="n">
        <v>37</v>
      </c>
      <c r="H79" s="15" t="n">
        <v>40424.68</v>
      </c>
      <c r="I79" s="15" t="n">
        <v>1092.56</v>
      </c>
      <c r="J79" s="30" t="n">
        <v>6.49</v>
      </c>
      <c r="K79" s="29" t="n">
        <v>48.7</v>
      </c>
      <c r="L79" s="29" t="n">
        <v>4</v>
      </c>
      <c r="M79" s="30" t="n">
        <v>3.17</v>
      </c>
      <c r="N79" s="30" t="n">
        <v>-0.83</v>
      </c>
      <c r="O79" s="6" t="n">
        <v>41</v>
      </c>
      <c r="P79" s="29" t="n">
        <v>92</v>
      </c>
      <c r="Q79" s="6" t="inlineStr">
        <is>
          <t>Top 10%</t>
        </is>
      </c>
    </row>
    <row r="80">
      <c r="A80" s="6" t="inlineStr">
        <is>
          <t>Restaurant_415</t>
        </is>
      </c>
      <c r="B80" s="6" t="inlineStr">
        <is>
          <t>Chennai</t>
        </is>
      </c>
      <c r="C80" s="6" t="inlineStr">
        <is>
          <t>Area_C</t>
        </is>
      </c>
      <c r="D80" s="6" t="inlineStr">
        <is>
          <t>Thai</t>
        </is>
      </c>
      <c r="E80" s="6" t="inlineStr">
        <is>
          <t>High</t>
        </is>
      </c>
      <c r="F80" s="6" t="inlineStr">
        <is>
          <t>Yes</t>
        </is>
      </c>
      <c r="G80" s="15" t="n">
        <v>32</v>
      </c>
      <c r="H80" s="15" t="n">
        <v>40101.35</v>
      </c>
      <c r="I80" s="15" t="n">
        <v>1253.17</v>
      </c>
      <c r="J80" s="30" t="n">
        <v>5.09</v>
      </c>
      <c r="K80" s="29" t="n">
        <v>51.3</v>
      </c>
      <c r="L80" s="29" t="n">
        <v>3.1</v>
      </c>
      <c r="M80" s="30" t="n">
        <v>3.15</v>
      </c>
      <c r="N80" s="30" t="n">
        <v>0.05</v>
      </c>
      <c r="O80" s="6" t="n">
        <v>42</v>
      </c>
      <c r="P80" s="29" t="n">
        <v>91.8</v>
      </c>
      <c r="Q80" s="6" t="inlineStr">
        <is>
          <t>Top 10%</t>
        </is>
      </c>
    </row>
    <row r="81">
      <c r="A81" s="6" t="inlineStr">
        <is>
          <t>Restaurant_14</t>
        </is>
      </c>
      <c r="B81" s="6" t="inlineStr">
        <is>
          <t>Mumbai</t>
        </is>
      </c>
      <c r="C81" s="6" t="inlineStr">
        <is>
          <t>Area_B</t>
        </is>
      </c>
      <c r="D81" s="6" t="inlineStr">
        <is>
          <t>Mexican</t>
        </is>
      </c>
      <c r="E81" s="6" t="inlineStr">
        <is>
          <t>High</t>
        </is>
      </c>
      <c r="F81" s="6" t="inlineStr">
        <is>
          <t>No</t>
        </is>
      </c>
      <c r="G81" s="15" t="n">
        <v>36</v>
      </c>
      <c r="H81" s="15" t="n">
        <v>39971.43</v>
      </c>
      <c r="I81" s="15" t="n">
        <v>1110.32</v>
      </c>
      <c r="J81" s="30" t="n">
        <v>5.42</v>
      </c>
      <c r="K81" s="29" t="n">
        <v>59.8</v>
      </c>
      <c r="L81" s="29" t="n">
        <v>2.5</v>
      </c>
      <c r="M81" s="30" t="n">
        <v>2.53</v>
      </c>
      <c r="N81" s="30" t="n">
        <v>0.03</v>
      </c>
      <c r="O81" s="6" t="n">
        <v>43</v>
      </c>
      <c r="P81" s="29" t="n">
        <v>91.59999999999999</v>
      </c>
      <c r="Q81" s="6" t="inlineStr">
        <is>
          <t>Top 10%</t>
        </is>
      </c>
    </row>
    <row r="82">
      <c r="A82" s="6" t="inlineStr">
        <is>
          <t>Restaurant_85</t>
        </is>
      </c>
      <c r="B82" s="6" t="inlineStr">
        <is>
          <t>Kolkata</t>
        </is>
      </c>
      <c r="C82" s="6" t="inlineStr">
        <is>
          <t>Area_E</t>
        </is>
      </c>
      <c r="D82" s="6" t="inlineStr">
        <is>
          <t>Italian</t>
        </is>
      </c>
      <c r="E82" s="6" t="inlineStr">
        <is>
          <t>Medium</t>
        </is>
      </c>
      <c r="F82" s="6" t="inlineStr">
        <is>
          <t>No</t>
        </is>
      </c>
      <c r="G82" s="15" t="n">
        <v>35</v>
      </c>
      <c r="H82" s="15" t="n">
        <v>39886.23</v>
      </c>
      <c r="I82" s="15" t="n">
        <v>1139.61</v>
      </c>
      <c r="J82" s="30" t="n">
        <v>5.74</v>
      </c>
      <c r="K82" s="29" t="n">
        <v>51.2</v>
      </c>
      <c r="L82" s="29" t="n">
        <v>5</v>
      </c>
      <c r="M82" s="30" t="n">
        <v>3.2</v>
      </c>
      <c r="N82" s="30" t="n">
        <v>-1.8</v>
      </c>
      <c r="O82" s="6" t="n">
        <v>44</v>
      </c>
      <c r="P82" s="29" t="n">
        <v>91.40000000000001</v>
      </c>
      <c r="Q82" s="6" t="inlineStr">
        <is>
          <t>Top 10%</t>
        </is>
      </c>
    </row>
    <row r="83">
      <c r="A83" s="6" t="inlineStr">
        <is>
          <t>Restaurant_44</t>
        </is>
      </c>
      <c r="B83" s="6" t="inlineStr">
        <is>
          <t>Bangalore</t>
        </is>
      </c>
      <c r="C83" s="6" t="inlineStr">
        <is>
          <t>Area_E</t>
        </is>
      </c>
      <c r="D83" s="6" t="inlineStr">
        <is>
          <t>Chinese</t>
        </is>
      </c>
      <c r="E83" s="6" t="inlineStr">
        <is>
          <t>Low</t>
        </is>
      </c>
      <c r="F83" s="6" t="inlineStr">
        <is>
          <t>Yes</t>
        </is>
      </c>
      <c r="G83" s="15" t="n">
        <v>35</v>
      </c>
      <c r="H83" s="15" t="n">
        <v>39803.54</v>
      </c>
      <c r="I83" s="15" t="n">
        <v>1137.24</v>
      </c>
      <c r="J83" s="30" t="n">
        <v>5.23</v>
      </c>
      <c r="K83" s="29" t="n">
        <v>54</v>
      </c>
      <c r="L83" s="29" t="n">
        <v>3.9</v>
      </c>
      <c r="M83" s="30" t="n">
        <v>3.24</v>
      </c>
      <c r="N83" s="30" t="n">
        <v>-0.66</v>
      </c>
      <c r="O83" s="6" t="n">
        <v>45</v>
      </c>
      <c r="P83" s="29" t="n">
        <v>91.2</v>
      </c>
      <c r="Q83" s="6" t="inlineStr">
        <is>
          <t>Top 10%</t>
        </is>
      </c>
    </row>
    <row r="84">
      <c r="A84" s="6" t="inlineStr">
        <is>
          <t>Restaurant_427</t>
        </is>
      </c>
      <c r="B84" s="6" t="inlineStr">
        <is>
          <t>Bangalore</t>
        </is>
      </c>
      <c r="C84" s="6" t="inlineStr">
        <is>
          <t>Area_B</t>
        </is>
      </c>
      <c r="D84" s="6" t="inlineStr">
        <is>
          <t>Mexican</t>
        </is>
      </c>
      <c r="E84" s="6" t="inlineStr">
        <is>
          <t>Low</t>
        </is>
      </c>
      <c r="F84" s="6" t="inlineStr">
        <is>
          <t>No</t>
        </is>
      </c>
      <c r="G84" s="15" t="n">
        <v>42</v>
      </c>
      <c r="H84" s="15" t="n">
        <v>39747.39</v>
      </c>
      <c r="I84" s="15" t="n">
        <v>946.37</v>
      </c>
      <c r="J84" s="30" t="n">
        <v>4.88</v>
      </c>
      <c r="K84" s="29" t="n">
        <v>53.6</v>
      </c>
      <c r="L84" s="29" t="n">
        <v>3.7</v>
      </c>
      <c r="M84" s="30" t="n">
        <v>3.02</v>
      </c>
      <c r="N84" s="30" t="n">
        <v>-0.68</v>
      </c>
      <c r="O84" s="6" t="n">
        <v>46</v>
      </c>
      <c r="P84" s="29" t="n">
        <v>91</v>
      </c>
      <c r="Q84" s="6" t="inlineStr">
        <is>
          <t>Top 10%</t>
        </is>
      </c>
    </row>
    <row r="85">
      <c r="A85" s="6" t="inlineStr">
        <is>
          <t>Restaurant_296</t>
        </is>
      </c>
      <c r="B85" s="6" t="inlineStr">
        <is>
          <t>Delhi</t>
        </is>
      </c>
      <c r="C85" s="6" t="inlineStr">
        <is>
          <t>Area_C</t>
        </is>
      </c>
      <c r="D85" s="6" t="inlineStr">
        <is>
          <t>Thai</t>
        </is>
      </c>
      <c r="E85" s="6" t="inlineStr">
        <is>
          <t>High</t>
        </is>
      </c>
      <c r="F85" s="6" t="inlineStr">
        <is>
          <t>Yes</t>
        </is>
      </c>
      <c r="G85" s="15" t="n">
        <v>35</v>
      </c>
      <c r="H85" s="15" t="n">
        <v>39546.83</v>
      </c>
      <c r="I85" s="15" t="n">
        <v>1129.91</v>
      </c>
      <c r="J85" s="30" t="n">
        <v>5.83</v>
      </c>
      <c r="K85" s="29" t="n">
        <v>53.9</v>
      </c>
      <c r="L85" s="29" t="n">
        <v>2.7</v>
      </c>
      <c r="M85" s="30" t="n">
        <v>2.99</v>
      </c>
      <c r="N85" s="30" t="n">
        <v>0.29</v>
      </c>
      <c r="O85" s="6" t="n">
        <v>47</v>
      </c>
      <c r="P85" s="29" t="n">
        <v>90.8</v>
      </c>
      <c r="Q85" s="6" t="inlineStr">
        <is>
          <t>Top 10%</t>
        </is>
      </c>
    </row>
    <row r="86">
      <c r="A86" s="6" t="inlineStr">
        <is>
          <t>Restaurant_212</t>
        </is>
      </c>
      <c r="B86" s="6" t="inlineStr">
        <is>
          <t>Bangalore</t>
        </is>
      </c>
      <c r="C86" s="6" t="inlineStr">
        <is>
          <t>Area_D</t>
        </is>
      </c>
      <c r="D86" s="6" t="inlineStr">
        <is>
          <t>Thai</t>
        </is>
      </c>
      <c r="E86" s="6" t="inlineStr">
        <is>
          <t>Low</t>
        </is>
      </c>
      <c r="F86" s="6" t="inlineStr">
        <is>
          <t>No</t>
        </is>
      </c>
      <c r="G86" s="15" t="n">
        <v>33</v>
      </c>
      <c r="H86" s="15" t="n">
        <v>39524.44</v>
      </c>
      <c r="I86" s="15" t="n">
        <v>1197.71</v>
      </c>
      <c r="J86" s="30" t="n">
        <v>4.64</v>
      </c>
      <c r="K86" s="29" t="n">
        <v>48.2</v>
      </c>
      <c r="L86" s="29" t="n">
        <v>4.5</v>
      </c>
      <c r="M86" s="30" t="n">
        <v>3.15</v>
      </c>
      <c r="N86" s="30" t="n">
        <v>-1.35</v>
      </c>
      <c r="O86" s="6" t="n">
        <v>48</v>
      </c>
      <c r="P86" s="29" t="n">
        <v>90.59999999999999</v>
      </c>
      <c r="Q86" s="6" t="inlineStr">
        <is>
          <t>Top 10%</t>
        </is>
      </c>
    </row>
    <row r="87">
      <c r="A87" s="6" t="inlineStr">
        <is>
          <t>Restaurant_392</t>
        </is>
      </c>
      <c r="B87" s="6" t="inlineStr">
        <is>
          <t>Kolkata</t>
        </is>
      </c>
      <c r="C87" s="6" t="inlineStr">
        <is>
          <t>Area_C</t>
        </is>
      </c>
      <c r="D87" s="6" t="inlineStr">
        <is>
          <t>Italian</t>
        </is>
      </c>
      <c r="E87" s="6" t="inlineStr">
        <is>
          <t>Low</t>
        </is>
      </c>
      <c r="F87" s="6" t="inlineStr">
        <is>
          <t>No</t>
        </is>
      </c>
      <c r="G87" s="15" t="n">
        <v>34</v>
      </c>
      <c r="H87" s="15" t="n">
        <v>39491.7</v>
      </c>
      <c r="I87" s="15" t="n">
        <v>1161.52</v>
      </c>
      <c r="J87" s="30" t="n">
        <v>6.68</v>
      </c>
      <c r="K87" s="29" t="n">
        <v>56.3</v>
      </c>
      <c r="L87" s="29" t="n">
        <v>2.6</v>
      </c>
      <c r="M87" s="30" t="n">
        <v>2.61</v>
      </c>
      <c r="N87" s="30" t="n">
        <v>0.01</v>
      </c>
      <c r="O87" s="6" t="n">
        <v>49</v>
      </c>
      <c r="P87" s="29" t="n">
        <v>90.40000000000001</v>
      </c>
      <c r="Q87" s="6" t="inlineStr">
        <is>
          <t>Top 10%</t>
        </is>
      </c>
    </row>
    <row r="88">
      <c r="A88" s="6" t="inlineStr">
        <is>
          <t>Restaurant_466</t>
        </is>
      </c>
      <c r="B88" s="6" t="inlineStr">
        <is>
          <t>Chennai</t>
        </is>
      </c>
      <c r="C88" s="6" t="inlineStr">
        <is>
          <t>Area_A</t>
        </is>
      </c>
      <c r="D88" s="6" t="inlineStr">
        <is>
          <t>Mexican</t>
        </is>
      </c>
      <c r="E88" s="6" t="inlineStr">
        <is>
          <t>High</t>
        </is>
      </c>
      <c r="F88" s="6" t="inlineStr">
        <is>
          <t>Yes</t>
        </is>
      </c>
      <c r="G88" s="15" t="n">
        <v>34</v>
      </c>
      <c r="H88" s="15" t="n">
        <v>39388.51</v>
      </c>
      <c r="I88" s="15" t="n">
        <v>1158.49</v>
      </c>
      <c r="J88" s="30" t="n">
        <v>6.26</v>
      </c>
      <c r="K88" s="29" t="n">
        <v>46.5</v>
      </c>
      <c r="L88" s="29" t="n">
        <v>3.2</v>
      </c>
      <c r="M88" s="30" t="n">
        <v>2.76</v>
      </c>
      <c r="N88" s="30" t="n">
        <v>-0.44</v>
      </c>
      <c r="O88" s="6" t="n">
        <v>50</v>
      </c>
      <c r="P88" s="29" t="n">
        <v>90.2</v>
      </c>
      <c r="Q88" s="6" t="inlineStr">
        <is>
          <t>Top 10%</t>
        </is>
      </c>
    </row>
    <row r="89">
      <c r="A89" s="6" t="inlineStr">
        <is>
          <t>Restaurant_61</t>
        </is>
      </c>
      <c r="B89" s="6" t="inlineStr">
        <is>
          <t>Chennai</t>
        </is>
      </c>
      <c r="C89" s="6" t="inlineStr">
        <is>
          <t>Area_E</t>
        </is>
      </c>
      <c r="D89" s="6" t="inlineStr">
        <is>
          <t>Mexican</t>
        </is>
      </c>
      <c r="E89" s="6" t="inlineStr">
        <is>
          <t>High</t>
        </is>
      </c>
      <c r="F89" s="6" t="inlineStr">
        <is>
          <t>No</t>
        </is>
      </c>
      <c r="G89" s="15" t="n">
        <v>39</v>
      </c>
      <c r="H89" s="15" t="n">
        <v>39374.81</v>
      </c>
      <c r="I89" s="15" t="n">
        <v>1009.61</v>
      </c>
      <c r="J89" s="30" t="n">
        <v>5.82</v>
      </c>
      <c r="K89" s="29" t="n">
        <v>54.4</v>
      </c>
      <c r="L89" s="29" t="n">
        <v>4.5</v>
      </c>
      <c r="M89" s="30" t="n">
        <v>2.71</v>
      </c>
      <c r="N89" s="30" t="n">
        <v>-1.79</v>
      </c>
      <c r="O89" s="6" t="n">
        <v>51</v>
      </c>
      <c r="P89" s="29" t="n">
        <v>90</v>
      </c>
      <c r="Q89" s="6" t="inlineStr">
        <is>
          <t>Upper quartile</t>
        </is>
      </c>
    </row>
    <row r="90">
      <c r="A90" s="6" t="inlineStr">
        <is>
          <t>Restaurant_260</t>
        </is>
      </c>
      <c r="B90" s="6" t="inlineStr">
        <is>
          <t>Chennai</t>
        </is>
      </c>
      <c r="C90" s="6" t="inlineStr">
        <is>
          <t>Area_E</t>
        </is>
      </c>
      <c r="D90" s="6" t="inlineStr">
        <is>
          <t>Thai</t>
        </is>
      </c>
      <c r="E90" s="6" t="inlineStr">
        <is>
          <t>Low</t>
        </is>
      </c>
      <c r="F90" s="6" t="inlineStr">
        <is>
          <t>No</t>
        </is>
      </c>
      <c r="G90" s="15" t="n">
        <v>36</v>
      </c>
      <c r="H90" s="15" t="n">
        <v>39370.38</v>
      </c>
      <c r="I90" s="15" t="n">
        <v>1093.62</v>
      </c>
      <c r="J90" s="30" t="n">
        <v>4.75</v>
      </c>
      <c r="K90" s="29" t="n">
        <v>55</v>
      </c>
      <c r="L90" s="29" t="n">
        <v>4.6</v>
      </c>
      <c r="M90" s="30" t="n">
        <v>2.92</v>
      </c>
      <c r="N90" s="30" t="n">
        <v>-1.67</v>
      </c>
      <c r="O90" s="6" t="n">
        <v>52</v>
      </c>
      <c r="P90" s="29" t="n">
        <v>89.8</v>
      </c>
      <c r="Q90" s="6" t="inlineStr">
        <is>
          <t>Upper quartile</t>
        </is>
      </c>
    </row>
    <row r="91">
      <c r="A91" s="6" t="inlineStr">
        <is>
          <t>Restaurant_71</t>
        </is>
      </c>
      <c r="B91" s="6" t="inlineStr">
        <is>
          <t>Kolkata</t>
        </is>
      </c>
      <c r="C91" s="6" t="inlineStr">
        <is>
          <t>Area_D</t>
        </is>
      </c>
      <c r="D91" s="6" t="inlineStr">
        <is>
          <t>Indian</t>
        </is>
      </c>
      <c r="E91" s="6" t="inlineStr">
        <is>
          <t>Medium</t>
        </is>
      </c>
      <c r="F91" s="6" t="inlineStr">
        <is>
          <t>No</t>
        </is>
      </c>
      <c r="G91" s="15" t="n">
        <v>34</v>
      </c>
      <c r="H91" s="15" t="n">
        <v>39303.74</v>
      </c>
      <c r="I91" s="15" t="n">
        <v>1155.99</v>
      </c>
      <c r="J91" s="30" t="n">
        <v>4.5</v>
      </c>
      <c r="K91" s="29" t="n">
        <v>47.9</v>
      </c>
      <c r="L91" s="29" t="n">
        <v>2.6</v>
      </c>
      <c r="M91" s="30" t="n">
        <v>2.89</v>
      </c>
      <c r="N91" s="30" t="n">
        <v>0.29</v>
      </c>
      <c r="O91" s="6" t="n">
        <v>53</v>
      </c>
      <c r="P91" s="29" t="n">
        <v>89.59999999999999</v>
      </c>
      <c r="Q91" s="6" t="inlineStr">
        <is>
          <t>Upper quartile</t>
        </is>
      </c>
    </row>
    <row r="92">
      <c r="A92" s="6" t="inlineStr">
        <is>
          <t>Restaurant_465</t>
        </is>
      </c>
      <c r="B92" s="6" t="inlineStr">
        <is>
          <t>Kolkata</t>
        </is>
      </c>
      <c r="C92" s="6" t="inlineStr">
        <is>
          <t>Area_C</t>
        </is>
      </c>
      <c r="D92" s="6" t="inlineStr">
        <is>
          <t>Thai</t>
        </is>
      </c>
      <c r="E92" s="6" t="inlineStr">
        <is>
          <t>Low</t>
        </is>
      </c>
      <c r="F92" s="6" t="inlineStr">
        <is>
          <t>No</t>
        </is>
      </c>
      <c r="G92" s="15" t="n">
        <v>37</v>
      </c>
      <c r="H92" s="15" t="n">
        <v>39037.04</v>
      </c>
      <c r="I92" s="15" t="n">
        <v>1055.06</v>
      </c>
      <c r="J92" s="30" t="n">
        <v>5.92</v>
      </c>
      <c r="K92" s="29" t="n">
        <v>54.5</v>
      </c>
      <c r="L92" s="29" t="n">
        <v>3.1</v>
      </c>
      <c r="M92" s="30" t="n">
        <v>3.13</v>
      </c>
      <c r="N92" s="30" t="n">
        <v>0.03</v>
      </c>
      <c r="O92" s="6" t="n">
        <v>54</v>
      </c>
      <c r="P92" s="29" t="n">
        <v>89.40000000000001</v>
      </c>
      <c r="Q92" s="6" t="inlineStr">
        <is>
          <t>Upper quartile</t>
        </is>
      </c>
    </row>
    <row r="93">
      <c r="A93" s="6" t="inlineStr">
        <is>
          <t>Restaurant_31</t>
        </is>
      </c>
      <c r="B93" s="6" t="inlineStr">
        <is>
          <t>Bangalore</t>
        </is>
      </c>
      <c r="C93" s="6" t="inlineStr">
        <is>
          <t>Area_D</t>
        </is>
      </c>
      <c r="D93" s="6" t="inlineStr">
        <is>
          <t>Mexican</t>
        </is>
      </c>
      <c r="E93" s="6" t="inlineStr">
        <is>
          <t>High</t>
        </is>
      </c>
      <c r="F93" s="6" t="inlineStr">
        <is>
          <t>No</t>
        </is>
      </c>
      <c r="G93" s="15" t="n">
        <v>39</v>
      </c>
      <c r="H93" s="15" t="n">
        <v>39030.46</v>
      </c>
      <c r="I93" s="15" t="n">
        <v>1000.78</v>
      </c>
      <c r="J93" s="30" t="n">
        <v>5.62</v>
      </c>
      <c r="K93" s="29" t="n">
        <v>53</v>
      </c>
      <c r="L93" s="29" t="n">
        <v>2.5</v>
      </c>
      <c r="M93" s="30" t="n">
        <v>3.18</v>
      </c>
      <c r="N93" s="30" t="n">
        <v>0.68</v>
      </c>
      <c r="O93" s="6" t="n">
        <v>55</v>
      </c>
      <c r="P93" s="29" t="n">
        <v>89.2</v>
      </c>
      <c r="Q93" s="6" t="inlineStr">
        <is>
          <t>Upper quartile</t>
        </is>
      </c>
    </row>
    <row r="94">
      <c r="A94" s="6" t="inlineStr">
        <is>
          <t>Restaurant_51</t>
        </is>
      </c>
      <c r="B94" s="6" t="inlineStr">
        <is>
          <t>Chennai</t>
        </is>
      </c>
      <c r="C94" s="6" t="inlineStr">
        <is>
          <t>Area_C</t>
        </is>
      </c>
      <c r="D94" s="6" t="inlineStr">
        <is>
          <t>Mexican</t>
        </is>
      </c>
      <c r="E94" s="6" t="inlineStr">
        <is>
          <t>Medium</t>
        </is>
      </c>
      <c r="F94" s="6" t="inlineStr">
        <is>
          <t>Yes</t>
        </is>
      </c>
      <c r="G94" s="15" t="n">
        <v>39</v>
      </c>
      <c r="H94" s="15" t="n">
        <v>39024.11</v>
      </c>
      <c r="I94" s="15" t="n">
        <v>1000.62</v>
      </c>
      <c r="J94" s="30" t="n">
        <v>4.13</v>
      </c>
      <c r="K94" s="29" t="n">
        <v>54.4</v>
      </c>
      <c r="L94" s="29" t="n">
        <v>3.8</v>
      </c>
      <c r="M94" s="30" t="n">
        <v>2.96</v>
      </c>
      <c r="N94" s="30" t="n">
        <v>-0.84</v>
      </c>
      <c r="O94" s="6" t="n">
        <v>56</v>
      </c>
      <c r="P94" s="29" t="n">
        <v>89</v>
      </c>
      <c r="Q94" s="6" t="inlineStr">
        <is>
          <t>Upper quartile</t>
        </is>
      </c>
    </row>
    <row r="95">
      <c r="A95" s="6" t="inlineStr">
        <is>
          <t>Restaurant_387</t>
        </is>
      </c>
      <c r="B95" s="6" t="inlineStr">
        <is>
          <t>Bangalore</t>
        </is>
      </c>
      <c r="C95" s="6" t="inlineStr">
        <is>
          <t>Area_B</t>
        </is>
      </c>
      <c r="D95" s="6" t="inlineStr">
        <is>
          <t>Mexican</t>
        </is>
      </c>
      <c r="E95" s="6" t="inlineStr">
        <is>
          <t>Medium</t>
        </is>
      </c>
      <c r="F95" s="6" t="inlineStr">
        <is>
          <t>No</t>
        </is>
      </c>
      <c r="G95" s="15" t="n">
        <v>32</v>
      </c>
      <c r="H95" s="15" t="n">
        <v>38876.19</v>
      </c>
      <c r="I95" s="15" t="n">
        <v>1214.88</v>
      </c>
      <c r="J95" s="30" t="n">
        <v>5.06</v>
      </c>
      <c r="K95" s="29" t="n">
        <v>56.8</v>
      </c>
      <c r="L95" s="29" t="n">
        <v>3.7</v>
      </c>
      <c r="M95" s="30" t="n">
        <v>2.98</v>
      </c>
      <c r="N95" s="30" t="n">
        <v>-0.72</v>
      </c>
      <c r="O95" s="6" t="n">
        <v>57</v>
      </c>
      <c r="P95" s="29" t="n">
        <v>88.8</v>
      </c>
      <c r="Q95" s="6" t="inlineStr">
        <is>
          <t>Upper quartile</t>
        </is>
      </c>
    </row>
    <row r="96">
      <c r="A96" s="6" t="inlineStr">
        <is>
          <t>Restaurant_193</t>
        </is>
      </c>
      <c r="B96" s="6" t="inlineStr">
        <is>
          <t>Chennai</t>
        </is>
      </c>
      <c r="C96" s="6" t="inlineStr">
        <is>
          <t>Area_C</t>
        </is>
      </c>
      <c r="D96" s="6" t="inlineStr">
        <is>
          <t>Mexican</t>
        </is>
      </c>
      <c r="E96" s="6" t="inlineStr">
        <is>
          <t>High</t>
        </is>
      </c>
      <c r="F96" s="6" t="inlineStr">
        <is>
          <t>Yes</t>
        </is>
      </c>
      <c r="G96" s="15" t="n">
        <v>36</v>
      </c>
      <c r="H96" s="15" t="n">
        <v>38794.78</v>
      </c>
      <c r="I96" s="15" t="n">
        <v>1077.63</v>
      </c>
      <c r="J96" s="30" t="n">
        <v>5.89</v>
      </c>
      <c r="K96" s="29" t="n">
        <v>60.3</v>
      </c>
      <c r="L96" s="29" t="n">
        <v>3.4</v>
      </c>
      <c r="M96" s="30" t="n">
        <v>3.09</v>
      </c>
      <c r="N96" s="30" t="n">
        <v>-0.31</v>
      </c>
      <c r="O96" s="6" t="n">
        <v>58</v>
      </c>
      <c r="P96" s="29" t="n">
        <v>88.59999999999999</v>
      </c>
      <c r="Q96" s="6" t="inlineStr">
        <is>
          <t>Upper quartile</t>
        </is>
      </c>
    </row>
    <row r="97">
      <c r="A97" s="6" t="inlineStr">
        <is>
          <t>Restaurant_2</t>
        </is>
      </c>
      <c r="B97" s="6" t="inlineStr">
        <is>
          <t>Mumbai</t>
        </is>
      </c>
      <c r="C97" s="6" t="inlineStr">
        <is>
          <t>Area_A</t>
        </is>
      </c>
      <c r="D97" s="6" t="inlineStr">
        <is>
          <t>Chinese</t>
        </is>
      </c>
      <c r="E97" s="6" t="inlineStr">
        <is>
          <t>High</t>
        </is>
      </c>
      <c r="F97" s="6" t="inlineStr">
        <is>
          <t>No</t>
        </is>
      </c>
      <c r="G97" s="15" t="n">
        <v>34</v>
      </c>
      <c r="H97" s="15" t="n">
        <v>38794.59</v>
      </c>
      <c r="I97" s="15" t="n">
        <v>1141.02</v>
      </c>
      <c r="J97" s="30" t="n">
        <v>5.91</v>
      </c>
      <c r="K97" s="29" t="n">
        <v>51.9</v>
      </c>
      <c r="L97" s="29" t="n">
        <v>4.1</v>
      </c>
      <c r="M97" s="30" t="n">
        <v>2.63</v>
      </c>
      <c r="N97" s="30" t="n">
        <v>-1.47</v>
      </c>
      <c r="O97" s="6" t="n">
        <v>59</v>
      </c>
      <c r="P97" s="29" t="n">
        <v>88.40000000000001</v>
      </c>
      <c r="Q97" s="6" t="inlineStr">
        <is>
          <t>Upper quartile</t>
        </is>
      </c>
    </row>
    <row r="98">
      <c r="A98" s="6" t="inlineStr">
        <is>
          <t>Restaurant_474</t>
        </is>
      </c>
      <c r="B98" s="6" t="inlineStr">
        <is>
          <t>Kolkata</t>
        </is>
      </c>
      <c r="C98" s="6" t="inlineStr">
        <is>
          <t>Area_C</t>
        </is>
      </c>
      <c r="D98" s="6" t="inlineStr">
        <is>
          <t>Mexican</t>
        </is>
      </c>
      <c r="E98" s="6" t="inlineStr">
        <is>
          <t>High</t>
        </is>
      </c>
      <c r="F98" s="6" t="inlineStr">
        <is>
          <t>No</t>
        </is>
      </c>
      <c r="G98" s="15" t="n">
        <v>34</v>
      </c>
      <c r="H98" s="15" t="n">
        <v>38757.68</v>
      </c>
      <c r="I98" s="15" t="n">
        <v>1139.93</v>
      </c>
      <c r="J98" s="30" t="n">
        <v>5.44</v>
      </c>
      <c r="K98" s="29" t="n">
        <v>52.3</v>
      </c>
      <c r="L98" s="29" t="n">
        <v>2.8</v>
      </c>
      <c r="M98" s="30" t="n">
        <v>2.94</v>
      </c>
      <c r="N98" s="30" t="n">
        <v>0.14</v>
      </c>
      <c r="O98" s="6" t="n">
        <v>60</v>
      </c>
      <c r="P98" s="29" t="n">
        <v>88.2</v>
      </c>
      <c r="Q98" s="6" t="inlineStr">
        <is>
          <t>Upper quartile</t>
        </is>
      </c>
    </row>
    <row r="99"/>
    <row r="100"/>
    <row r="101">
      <c r="A101" s="8" t="inlineStr">
        <is>
          <t>Full 500-row table is in sql_results/p9.csv and loads directly into Power BI as the detail page. Percentile and performance band drive the conditional formatting the brief asks for.</t>
        </is>
      </c>
    </row>
  </sheetData>
  <mergeCells count="18">
    <mergeCell ref="A4:B4"/>
    <mergeCell ref="A1:N1"/>
    <mergeCell ref="E4:F4"/>
    <mergeCell ref="G4:H4"/>
    <mergeCell ref="I4:J4"/>
    <mergeCell ref="A101:N101"/>
    <mergeCell ref="A20:N20"/>
    <mergeCell ref="A24:N24"/>
    <mergeCell ref="A2:N2"/>
    <mergeCell ref="C5:D5"/>
    <mergeCell ref="A5:B5"/>
    <mergeCell ref="G5:H5"/>
    <mergeCell ref="E5:F5"/>
    <mergeCell ref="A7:N7"/>
    <mergeCell ref="I5:J5"/>
    <mergeCell ref="A33:N33"/>
    <mergeCell ref="A37:N37"/>
    <mergeCell ref="C4:D4"/>
  </mergeCells>
  <conditionalFormatting sqref="H39:H98">
    <cfRule type="colorScale" priority="1">
      <colorScale>
        <cfvo type="min"/>
        <cfvo type="max"/>
        <color rgb="00FFFFFF"/>
        <color rgb="0063BE7B"/>
      </colorScale>
    </cfRule>
  </conditionalFormatting>
  <conditionalFormatting sqref="N39:N98">
    <cfRule type="cellIs" priority="2" operator="lessThan" dxfId="0">
      <formula>0</formula>
    </cfRule>
  </conditionalFormatting>
  <pageMargins left="0.75" right="0.75" top="1" bottom="1" header="0.5" footer="0.5"/>
  <tableParts count="3">
    <tablePart xmlns:r="http://schemas.openxmlformats.org/officeDocument/2006/relationships" r:id="rId1"/>
    <tablePart xmlns:r="http://schemas.openxmlformats.org/officeDocument/2006/relationships" r:id="rId2"/>
    <tablePart xmlns:r="http://schemas.openxmlformats.org/officeDocument/2006/relationships" r:id="rId3"/>
  </tableParts>
</worksheet>
</file>

<file path=xl/worksheets/sheet10.xml><?xml version="1.0" encoding="utf-8"?>
<worksheet xmlns="http://schemas.openxmlformats.org/spreadsheetml/2006/main">
  <sheetPr>
    <outlinePr summaryBelow="1" summaryRight="1"/>
    <pageSetUpPr/>
  </sheetPr>
  <dimension ref="A1:K71"/>
  <sheetViews>
    <sheetView showGridLines="0" workbookViewId="0">
      <selection activeCell="A1" sqref="A1"/>
    </sheetView>
  </sheetViews>
  <sheetFormatPr baseColWidth="8" defaultRowHeight="15"/>
  <cols>
    <col width="34" customWidth="1" min="1" max="1"/>
    <col width="14" customWidth="1" min="2" max="2"/>
    <col width="14" customWidth="1" min="3" max="3"/>
    <col width="13" customWidth="1" min="4" max="4"/>
    <col width="15" customWidth="1" min="5" max="5"/>
    <col width="15" customWidth="1" min="6" max="6"/>
    <col width="24" customWidth="1" min="7" max="7"/>
    <col width="24" customWidth="1" min="8" max="8"/>
    <col width="14" customWidth="1" min="9" max="9"/>
    <col width="17" customWidth="1" min="10" max="10"/>
    <col width="9" customWidth="1" min="11" max="11"/>
  </cols>
  <sheetData>
    <row r="1" ht="30" customHeight="1">
      <c r="A1" s="1" t="inlineStr">
        <is>
          <t>Power BI Task 6 - Revenue by Area, Cuisine &amp; Price Tier</t>
        </is>
      </c>
    </row>
    <row r="2">
      <c r="A2" s="2" t="inlineStr">
        <is>
          <t>Tree map source, decomposed into the volume vs basket drivers the brief asks for</t>
        </is>
      </c>
    </row>
    <row r="3"/>
    <row r="4" ht="22" customHeight="1">
      <c r="A4" s="3" t="inlineStr">
        <is>
          <t>TASK 6 - AREA ROLL-UP (TREE MAP PARENT LEVEL)</t>
        </is>
      </c>
    </row>
    <row r="5" ht="28" customHeight="1">
      <c r="A5" s="5" t="inlineStr">
        <is>
          <t>Area</t>
        </is>
      </c>
      <c r="B5" s="5" t="inlineStr">
        <is>
          <t>Restaurants</t>
        </is>
      </c>
      <c r="C5" s="5" t="inlineStr">
        <is>
          <t>Orders</t>
        </is>
      </c>
      <c r="D5" s="5" t="inlineStr">
        <is>
          <t>Revenue</t>
        </is>
      </c>
      <c r="E5" s="5" t="inlineStr">
        <is>
          <t>% of revenue</t>
        </is>
      </c>
      <c r="F5" s="5" t="inlineStr">
        <is>
          <t>AOV</t>
        </is>
      </c>
      <c r="G5" s="5" t="inlineStr">
        <is>
          <t>Orders per restaurant</t>
        </is>
      </c>
    </row>
    <row r="6">
      <c r="A6" s="6" t="inlineStr">
        <is>
          <t>Area_A</t>
        </is>
      </c>
      <c r="B6" s="15" t="n">
        <v>109</v>
      </c>
      <c r="C6" s="15" t="n">
        <v>3276</v>
      </c>
      <c r="D6" s="15" t="n">
        <v>3389610.24</v>
      </c>
      <c r="E6" s="28" t="n">
        <v>21.76</v>
      </c>
      <c r="F6" s="15" t="n">
        <v>1034.68</v>
      </c>
      <c r="G6" s="30" t="n">
        <v>30.06</v>
      </c>
    </row>
    <row r="7">
      <c r="A7" s="6" t="inlineStr">
        <is>
          <t>Area_B</t>
        </is>
      </c>
      <c r="B7" s="15" t="n">
        <v>103</v>
      </c>
      <c r="C7" s="15" t="n">
        <v>3058</v>
      </c>
      <c r="D7" s="15" t="n">
        <v>3164937.07</v>
      </c>
      <c r="E7" s="28" t="n">
        <v>20.32</v>
      </c>
      <c r="F7" s="15" t="n">
        <v>1034.97</v>
      </c>
      <c r="G7" s="30" t="n">
        <v>29.69</v>
      </c>
    </row>
    <row r="8">
      <c r="A8" s="6" t="inlineStr">
        <is>
          <t>Area_D</t>
        </is>
      </c>
      <c r="B8" s="15" t="n">
        <v>99</v>
      </c>
      <c r="C8" s="15" t="n">
        <v>2932</v>
      </c>
      <c r="D8" s="15" t="n">
        <v>3071402.67</v>
      </c>
      <c r="E8" s="28" t="n">
        <v>19.72</v>
      </c>
      <c r="F8" s="15" t="n">
        <v>1047.55</v>
      </c>
      <c r="G8" s="30" t="n">
        <v>29.62</v>
      </c>
    </row>
    <row r="9">
      <c r="A9" s="6" t="inlineStr">
        <is>
          <t>Area_C</t>
        </is>
      </c>
      <c r="B9" s="15" t="n">
        <v>98</v>
      </c>
      <c r="C9" s="15" t="n">
        <v>2951</v>
      </c>
      <c r="D9" s="15" t="n">
        <v>3042111.72</v>
      </c>
      <c r="E9" s="28" t="n">
        <v>19.53</v>
      </c>
      <c r="F9" s="15" t="n">
        <v>1030.87</v>
      </c>
      <c r="G9" s="30" t="n">
        <v>30.11</v>
      </c>
    </row>
    <row r="10">
      <c r="A10" s="6" t="inlineStr">
        <is>
          <t>Area_E</t>
        </is>
      </c>
      <c r="B10" s="15" t="n">
        <v>91</v>
      </c>
      <c r="C10" s="15" t="n">
        <v>2783</v>
      </c>
      <c r="D10" s="15" t="n">
        <v>2905824.94</v>
      </c>
      <c r="E10" s="28" t="n">
        <v>18.66</v>
      </c>
      <c r="F10" s="15" t="n">
        <v>1044.13</v>
      </c>
      <c r="G10" s="30" t="n">
        <v>30.58</v>
      </c>
    </row>
    <row r="11"/>
    <row r="12">
      <c r="A12" s="8" t="inlineStr">
        <is>
          <t>Area_A leads with 21.8% of revenue and Area_E trails at 18.7% - but Area_A also has 109 restaurants against Area_E's 91. Orders per restaurant runs 29.62-30.58, and Area_E is actually the most productive per outlet. The tree map ranks supply, not performance.</t>
        </is>
      </c>
    </row>
    <row r="13"/>
    <row r="14"/>
    <row r="15" ht="22" customHeight="1">
      <c r="A15" s="3" t="inlineStr">
        <is>
          <t>TASK 6 - CITY x AREA DETAIL (TREE MAP LEAF LEVEL)</t>
        </is>
      </c>
    </row>
    <row r="16" ht="28" customHeight="1">
      <c r="A16" s="7" t="inlineStr">
        <is>
          <t>City</t>
        </is>
      </c>
      <c r="B16" s="7" t="inlineStr">
        <is>
          <t>Area</t>
        </is>
      </c>
      <c r="C16" s="7" t="inlineStr">
        <is>
          <t>Restaurants</t>
        </is>
      </c>
      <c r="D16" s="7" t="inlineStr">
        <is>
          <t>Orders</t>
        </is>
      </c>
      <c r="E16" s="7" t="inlineStr">
        <is>
          <t>Revenue</t>
        </is>
      </c>
      <c r="F16" s="7" t="inlineStr">
        <is>
          <t>% of revenue</t>
        </is>
      </c>
      <c r="G16" s="7" t="inlineStr">
        <is>
          <t>AOV</t>
        </is>
      </c>
      <c r="H16" s="7" t="inlineStr">
        <is>
          <t>Orders per restaurant</t>
        </is>
      </c>
      <c r="I16" s="7" t="inlineStr">
        <is>
          <t>AOV vs mean</t>
        </is>
      </c>
      <c r="J16" s="7" t="inlineStr">
        <is>
          <t>Primary driver</t>
        </is>
      </c>
      <c r="K16" s="7" t="inlineStr">
        <is>
          <t>Rank</t>
        </is>
      </c>
    </row>
    <row r="17">
      <c r="A17" s="6" t="inlineStr">
        <is>
          <t>Bangalore</t>
        </is>
      </c>
      <c r="B17" s="6" t="inlineStr">
        <is>
          <t>Area_B</t>
        </is>
      </c>
      <c r="C17" s="15" t="n">
        <v>31</v>
      </c>
      <c r="D17" s="15" t="n">
        <v>940</v>
      </c>
      <c r="E17" s="15" t="n">
        <v>981998.9</v>
      </c>
      <c r="F17" s="28" t="n">
        <v>6.31</v>
      </c>
      <c r="G17" s="15" t="n">
        <v>1044.68</v>
      </c>
      <c r="H17" s="30" t="n">
        <v>30.32</v>
      </c>
      <c r="I17" s="30" t="n">
        <v>5.4</v>
      </c>
      <c r="J17" s="6" t="inlineStr">
        <is>
          <t>Basket</t>
        </is>
      </c>
      <c r="K17" s="6" t="n">
        <v>1</v>
      </c>
    </row>
    <row r="18">
      <c r="A18" s="6" t="inlineStr">
        <is>
          <t>Bangalore</t>
        </is>
      </c>
      <c r="B18" s="6" t="inlineStr">
        <is>
          <t>Area_A</t>
        </is>
      </c>
      <c r="C18" s="15" t="n">
        <v>32</v>
      </c>
      <c r="D18" s="15" t="n">
        <v>949</v>
      </c>
      <c r="E18" s="15" t="n">
        <v>968339.49</v>
      </c>
      <c r="F18" s="28" t="n">
        <v>6.22</v>
      </c>
      <c r="G18" s="15" t="n">
        <v>1020.38</v>
      </c>
      <c r="H18" s="30" t="n">
        <v>29.66</v>
      </c>
      <c r="I18" s="30" t="n">
        <v>-18.9</v>
      </c>
      <c r="J18" s="6" t="inlineStr">
        <is>
          <t>Volume</t>
        </is>
      </c>
      <c r="K18" s="6" t="n">
        <v>2</v>
      </c>
    </row>
    <row r="19">
      <c r="A19" s="6" t="inlineStr">
        <is>
          <t>Mumbai</t>
        </is>
      </c>
      <c r="B19" s="6" t="inlineStr">
        <is>
          <t>Area_A</t>
        </is>
      </c>
      <c r="C19" s="15" t="n">
        <v>31</v>
      </c>
      <c r="D19" s="15" t="n">
        <v>929</v>
      </c>
      <c r="E19" s="15" t="n">
        <v>938691.99</v>
      </c>
      <c r="F19" s="28" t="n">
        <v>6.03</v>
      </c>
      <c r="G19" s="15" t="n">
        <v>1010.43</v>
      </c>
      <c r="H19" s="30" t="n">
        <v>29.97</v>
      </c>
      <c r="I19" s="30" t="n">
        <v>-28.85</v>
      </c>
      <c r="J19" s="6" t="inlineStr">
        <is>
          <t>Volume</t>
        </is>
      </c>
      <c r="K19" s="6" t="n">
        <v>3</v>
      </c>
    </row>
    <row r="20">
      <c r="A20" s="6" t="inlineStr">
        <is>
          <t>Mumbai</t>
        </is>
      </c>
      <c r="B20" s="6" t="inlineStr">
        <is>
          <t>Area_E</t>
        </is>
      </c>
      <c r="C20" s="15" t="n">
        <v>28</v>
      </c>
      <c r="D20" s="15" t="n">
        <v>835</v>
      </c>
      <c r="E20" s="15" t="n">
        <v>885591.45</v>
      </c>
      <c r="F20" s="28" t="n">
        <v>5.69</v>
      </c>
      <c r="G20" s="15" t="n">
        <v>1060.59</v>
      </c>
      <c r="H20" s="30" t="n">
        <v>29.82</v>
      </c>
      <c r="I20" s="30" t="n">
        <v>21.31</v>
      </c>
      <c r="J20" s="6" t="inlineStr">
        <is>
          <t>Basket</t>
        </is>
      </c>
      <c r="K20" s="6" t="n">
        <v>4</v>
      </c>
    </row>
    <row r="21">
      <c r="A21" s="6" t="inlineStr">
        <is>
          <t>Delhi</t>
        </is>
      </c>
      <c r="B21" s="6" t="inlineStr">
        <is>
          <t>Area_C</t>
        </is>
      </c>
      <c r="C21" s="15" t="n">
        <v>25</v>
      </c>
      <c r="D21" s="15" t="n">
        <v>803</v>
      </c>
      <c r="E21" s="15" t="n">
        <v>831061.08</v>
      </c>
      <c r="F21" s="28" t="n">
        <v>5.34</v>
      </c>
      <c r="G21" s="15" t="n">
        <v>1034.95</v>
      </c>
      <c r="H21" s="30" t="n">
        <v>32.12</v>
      </c>
      <c r="I21" s="30" t="n">
        <v>-4.34</v>
      </c>
      <c r="J21" s="6" t="inlineStr">
        <is>
          <t>Volume</t>
        </is>
      </c>
      <c r="K21" s="6" t="n">
        <v>5</v>
      </c>
    </row>
    <row r="22">
      <c r="A22" s="6" t="inlineStr">
        <is>
          <t>Bangalore</t>
        </is>
      </c>
      <c r="B22" s="6" t="inlineStr">
        <is>
          <t>Area_D</t>
        </is>
      </c>
      <c r="C22" s="15" t="n">
        <v>23</v>
      </c>
      <c r="D22" s="15" t="n">
        <v>711</v>
      </c>
      <c r="E22" s="15" t="n">
        <v>741502.53</v>
      </c>
      <c r="F22" s="28" t="n">
        <v>4.76</v>
      </c>
      <c r="G22" s="15" t="n">
        <v>1042.9</v>
      </c>
      <c r="H22" s="30" t="n">
        <v>30.91</v>
      </c>
      <c r="I22" s="30" t="n">
        <v>3.62</v>
      </c>
      <c r="J22" s="6" t="inlineStr">
        <is>
          <t>Basket</t>
        </is>
      </c>
      <c r="K22" s="6" t="n">
        <v>6</v>
      </c>
    </row>
    <row r="23">
      <c r="A23" s="6" t="inlineStr">
        <is>
          <t>Mumbai</t>
        </is>
      </c>
      <c r="B23" s="6" t="inlineStr">
        <is>
          <t>Area_B</t>
        </is>
      </c>
      <c r="C23" s="15" t="n">
        <v>23</v>
      </c>
      <c r="D23" s="15" t="n">
        <v>672</v>
      </c>
      <c r="E23" s="15" t="n">
        <v>706270.85</v>
      </c>
      <c r="F23" s="28" t="n">
        <v>4.53</v>
      </c>
      <c r="G23" s="15" t="n">
        <v>1051</v>
      </c>
      <c r="H23" s="30" t="n">
        <v>29.22</v>
      </c>
      <c r="I23" s="30" t="n">
        <v>11.72</v>
      </c>
      <c r="J23" s="6" t="inlineStr">
        <is>
          <t>Basket</t>
        </is>
      </c>
      <c r="K23" s="6" t="n">
        <v>7</v>
      </c>
    </row>
    <row r="24">
      <c r="A24" s="6" t="inlineStr">
        <is>
          <t>Delhi</t>
        </is>
      </c>
      <c r="B24" s="6" t="inlineStr">
        <is>
          <t>Area_E</t>
        </is>
      </c>
      <c r="C24" s="15" t="n">
        <v>22</v>
      </c>
      <c r="D24" s="15" t="n">
        <v>689</v>
      </c>
      <c r="E24" s="15" t="n">
        <v>704024.46</v>
      </c>
      <c r="F24" s="28" t="n">
        <v>4.52</v>
      </c>
      <c r="G24" s="15" t="n">
        <v>1021.81</v>
      </c>
      <c r="H24" s="30" t="n">
        <v>31.32</v>
      </c>
      <c r="I24" s="30" t="n">
        <v>-17.48</v>
      </c>
      <c r="J24" s="6" t="inlineStr">
        <is>
          <t>Volume</t>
        </is>
      </c>
      <c r="K24" s="6" t="n">
        <v>8</v>
      </c>
    </row>
    <row r="25">
      <c r="A25" s="6" t="inlineStr">
        <is>
          <t>Chennai</t>
        </is>
      </c>
      <c r="B25" s="6" t="inlineStr">
        <is>
          <t>Area_D</t>
        </is>
      </c>
      <c r="C25" s="15" t="n">
        <v>23</v>
      </c>
      <c r="D25" s="15" t="n">
        <v>657</v>
      </c>
      <c r="E25" s="15" t="n">
        <v>697447.8199999999</v>
      </c>
      <c r="F25" s="28" t="n">
        <v>4.48</v>
      </c>
      <c r="G25" s="15" t="n">
        <v>1061.56</v>
      </c>
      <c r="H25" s="30" t="n">
        <v>28.57</v>
      </c>
      <c r="I25" s="30" t="n">
        <v>22.28</v>
      </c>
      <c r="J25" s="6" t="inlineStr">
        <is>
          <t>Basket</t>
        </is>
      </c>
      <c r="K25" s="6" t="n">
        <v>9</v>
      </c>
    </row>
    <row r="26">
      <c r="A26" s="6" t="inlineStr">
        <is>
          <t>Chennai</t>
        </is>
      </c>
      <c r="B26" s="6" t="inlineStr">
        <is>
          <t>Area_C</t>
        </is>
      </c>
      <c r="C26" s="15" t="n">
        <v>22</v>
      </c>
      <c r="D26" s="15" t="n">
        <v>674</v>
      </c>
      <c r="E26" s="15" t="n">
        <v>684473.6</v>
      </c>
      <c r="F26" s="28" t="n">
        <v>4.4</v>
      </c>
      <c r="G26" s="15" t="n">
        <v>1015.54</v>
      </c>
      <c r="H26" s="30" t="n">
        <v>30.64</v>
      </c>
      <c r="I26" s="30" t="n">
        <v>-23.74</v>
      </c>
      <c r="J26" s="6" t="inlineStr">
        <is>
          <t>Volume</t>
        </is>
      </c>
      <c r="K26" s="6" t="n">
        <v>10</v>
      </c>
    </row>
    <row r="27">
      <c r="A27" s="6" t="inlineStr">
        <is>
          <t>Kolkata</t>
        </is>
      </c>
      <c r="B27" s="6" t="inlineStr">
        <is>
          <t>Area_C</t>
        </is>
      </c>
      <c r="C27" s="15" t="n">
        <v>23</v>
      </c>
      <c r="D27" s="15" t="n">
        <v>653</v>
      </c>
      <c r="E27" s="15" t="n">
        <v>672983.7</v>
      </c>
      <c r="F27" s="28" t="n">
        <v>4.32</v>
      </c>
      <c r="G27" s="15" t="n">
        <v>1030.6</v>
      </c>
      <c r="H27" s="30" t="n">
        <v>28.39</v>
      </c>
      <c r="I27" s="30" t="n">
        <v>-8.68</v>
      </c>
      <c r="J27" s="6" t="inlineStr">
        <is>
          <t>Volume</t>
        </is>
      </c>
      <c r="K27" s="6" t="n">
        <v>11</v>
      </c>
    </row>
    <row r="28">
      <c r="A28" s="6" t="inlineStr">
        <is>
          <t>Kolkata</t>
        </is>
      </c>
      <c r="B28" s="6" t="inlineStr">
        <is>
          <t>Area_B</t>
        </is>
      </c>
      <c r="C28" s="15" t="n">
        <v>20</v>
      </c>
      <c r="D28" s="15" t="n">
        <v>600</v>
      </c>
      <c r="E28" s="15" t="n">
        <v>614641.95</v>
      </c>
      <c r="F28" s="28" t="n">
        <v>3.95</v>
      </c>
      <c r="G28" s="15" t="n">
        <v>1024.4</v>
      </c>
      <c r="H28" s="30" t="n">
        <v>30</v>
      </c>
      <c r="I28" s="30" t="n">
        <v>-14.88</v>
      </c>
      <c r="J28" s="6" t="inlineStr">
        <is>
          <t>Volume</t>
        </is>
      </c>
      <c r="K28" s="6" t="n">
        <v>12</v>
      </c>
    </row>
    <row r="29">
      <c r="A29" s="6" t="inlineStr">
        <is>
          <t>Delhi</t>
        </is>
      </c>
      <c r="B29" s="6" t="inlineStr">
        <is>
          <t>Area_D</t>
        </is>
      </c>
      <c r="C29" s="15" t="n">
        <v>19</v>
      </c>
      <c r="D29" s="15" t="n">
        <v>548</v>
      </c>
      <c r="E29" s="15" t="n">
        <v>583639.48</v>
      </c>
      <c r="F29" s="28" t="n">
        <v>3.75</v>
      </c>
      <c r="G29" s="15" t="n">
        <v>1065.04</v>
      </c>
      <c r="H29" s="30" t="n">
        <v>28.84</v>
      </c>
      <c r="I29" s="30" t="n">
        <v>25.75</v>
      </c>
      <c r="J29" s="6" t="inlineStr">
        <is>
          <t>Basket</t>
        </is>
      </c>
      <c r="K29" s="6" t="n">
        <v>13</v>
      </c>
    </row>
    <row r="30">
      <c r="A30" s="6" t="inlineStr">
        <is>
          <t>Chennai</t>
        </is>
      </c>
      <c r="B30" s="6" t="inlineStr">
        <is>
          <t>Area_A</t>
        </is>
      </c>
      <c r="C30" s="15" t="n">
        <v>17</v>
      </c>
      <c r="D30" s="15" t="n">
        <v>543</v>
      </c>
      <c r="E30" s="15" t="n">
        <v>577150.85</v>
      </c>
      <c r="F30" s="28" t="n">
        <v>3.71</v>
      </c>
      <c r="G30" s="15" t="n">
        <v>1062.89</v>
      </c>
      <c r="H30" s="30" t="n">
        <v>31.94</v>
      </c>
      <c r="I30" s="30" t="n">
        <v>23.61</v>
      </c>
      <c r="J30" s="6" t="inlineStr">
        <is>
          <t>Basket</t>
        </is>
      </c>
      <c r="K30" s="6" t="n">
        <v>14</v>
      </c>
    </row>
    <row r="31">
      <c r="A31" s="6" t="inlineStr">
        <is>
          <t>Kolkata</t>
        </is>
      </c>
      <c r="B31" s="6" t="inlineStr">
        <is>
          <t>Area_D</t>
        </is>
      </c>
      <c r="C31" s="15" t="n">
        <v>18</v>
      </c>
      <c r="D31" s="15" t="n">
        <v>543</v>
      </c>
      <c r="E31" s="15" t="n">
        <v>568034.39</v>
      </c>
      <c r="F31" s="28" t="n">
        <v>3.65</v>
      </c>
      <c r="G31" s="15" t="n">
        <v>1046.1</v>
      </c>
      <c r="H31" s="30" t="n">
        <v>30.17</v>
      </c>
      <c r="I31" s="30" t="n">
        <v>6.82</v>
      </c>
      <c r="J31" s="6" t="inlineStr">
        <is>
          <t>Basket</t>
        </is>
      </c>
      <c r="K31" s="6" t="n">
        <v>15</v>
      </c>
    </row>
    <row r="32">
      <c r="A32" s="6" t="inlineStr">
        <is>
          <t>Kolkata</t>
        </is>
      </c>
      <c r="B32" s="6" t="inlineStr">
        <is>
          <t>Area_A</t>
        </is>
      </c>
      <c r="C32" s="15" t="n">
        <v>17</v>
      </c>
      <c r="D32" s="15" t="n">
        <v>504</v>
      </c>
      <c r="E32" s="15" t="n">
        <v>542364.47</v>
      </c>
      <c r="F32" s="28" t="n">
        <v>3.48</v>
      </c>
      <c r="G32" s="15" t="n">
        <v>1076.12</v>
      </c>
      <c r="H32" s="30" t="n">
        <v>29.65</v>
      </c>
      <c r="I32" s="30" t="n">
        <v>36.84</v>
      </c>
      <c r="J32" s="6" t="inlineStr">
        <is>
          <t>Basket</t>
        </is>
      </c>
      <c r="K32" s="6" t="n">
        <v>16</v>
      </c>
    </row>
    <row r="33">
      <c r="A33" s="6" t="inlineStr">
        <is>
          <t>Mumbai</t>
        </is>
      </c>
      <c r="B33" s="6" t="inlineStr">
        <is>
          <t>Area_C</t>
        </is>
      </c>
      <c r="C33" s="15" t="n">
        <v>17</v>
      </c>
      <c r="D33" s="15" t="n">
        <v>475</v>
      </c>
      <c r="E33" s="15" t="n">
        <v>494485.51</v>
      </c>
      <c r="F33" s="28" t="n">
        <v>3.18</v>
      </c>
      <c r="G33" s="15" t="n">
        <v>1041.02</v>
      </c>
      <c r="H33" s="30" t="n">
        <v>27.94</v>
      </c>
      <c r="I33" s="30" t="n">
        <v>1.74</v>
      </c>
      <c r="J33" s="6" t="inlineStr">
        <is>
          <t>Basket</t>
        </is>
      </c>
      <c r="K33" s="6" t="n">
        <v>17</v>
      </c>
    </row>
    <row r="34">
      <c r="A34" s="6" t="inlineStr">
        <is>
          <t>Chennai</t>
        </is>
      </c>
      <c r="B34" s="6" t="inlineStr">
        <is>
          <t>Area_E</t>
        </is>
      </c>
      <c r="C34" s="15" t="n">
        <v>15</v>
      </c>
      <c r="D34" s="15" t="n">
        <v>473</v>
      </c>
      <c r="E34" s="15" t="n">
        <v>490367.05</v>
      </c>
      <c r="F34" s="28" t="n">
        <v>3.15</v>
      </c>
      <c r="G34" s="15" t="n">
        <v>1036.72</v>
      </c>
      <c r="H34" s="30" t="n">
        <v>31.53</v>
      </c>
      <c r="I34" s="30" t="n">
        <v>-2.56</v>
      </c>
      <c r="J34" s="6" t="inlineStr">
        <is>
          <t>Volume</t>
        </is>
      </c>
      <c r="K34" s="6" t="n">
        <v>18</v>
      </c>
    </row>
    <row r="35">
      <c r="A35" s="6" t="inlineStr">
        <is>
          <t>Mumbai</t>
        </is>
      </c>
      <c r="B35" s="6" t="inlineStr">
        <is>
          <t>Area_D</t>
        </is>
      </c>
      <c r="C35" s="15" t="n">
        <v>16</v>
      </c>
      <c r="D35" s="15" t="n">
        <v>473</v>
      </c>
      <c r="E35" s="15" t="n">
        <v>480778.45</v>
      </c>
      <c r="F35" s="28" t="n">
        <v>3.09</v>
      </c>
      <c r="G35" s="15" t="n">
        <v>1016.44</v>
      </c>
      <c r="H35" s="30" t="n">
        <v>29.56</v>
      </c>
      <c r="I35" s="30" t="n">
        <v>-22.84</v>
      </c>
      <c r="J35" s="6" t="inlineStr">
        <is>
          <t>Volume</t>
        </is>
      </c>
      <c r="K35" s="6" t="n">
        <v>19</v>
      </c>
    </row>
    <row r="36">
      <c r="A36" s="6" t="inlineStr">
        <is>
          <t>Delhi</t>
        </is>
      </c>
      <c r="B36" s="6" t="inlineStr">
        <is>
          <t>Area_B</t>
        </is>
      </c>
      <c r="C36" s="15" t="n">
        <v>15</v>
      </c>
      <c r="D36" s="15" t="n">
        <v>466</v>
      </c>
      <c r="E36" s="15" t="n">
        <v>472310.99</v>
      </c>
      <c r="F36" s="28" t="n">
        <v>3.03</v>
      </c>
      <c r="G36" s="15" t="n">
        <v>1013.54</v>
      </c>
      <c r="H36" s="30" t="n">
        <v>31.07</v>
      </c>
      <c r="I36" s="30" t="n">
        <v>-25.74</v>
      </c>
      <c r="J36" s="6" t="inlineStr">
        <is>
          <t>Volume</t>
        </is>
      </c>
      <c r="K36" s="6" t="n">
        <v>20</v>
      </c>
    </row>
    <row r="37">
      <c r="A37" s="6" t="inlineStr">
        <is>
          <t>Kolkata</t>
        </is>
      </c>
      <c r="B37" s="6" t="inlineStr">
        <is>
          <t>Area_E</t>
        </is>
      </c>
      <c r="C37" s="15" t="n">
        <v>14</v>
      </c>
      <c r="D37" s="15" t="n">
        <v>432</v>
      </c>
      <c r="E37" s="15" t="n">
        <v>441896.37</v>
      </c>
      <c r="F37" s="28" t="n">
        <v>2.84</v>
      </c>
      <c r="G37" s="15" t="n">
        <v>1022.91</v>
      </c>
      <c r="H37" s="30" t="n">
        <v>30.86</v>
      </c>
      <c r="I37" s="30" t="n">
        <v>-16.37</v>
      </c>
      <c r="J37" s="6" t="inlineStr">
        <is>
          <t>Volume</t>
        </is>
      </c>
      <c r="K37" s="6" t="n">
        <v>21</v>
      </c>
    </row>
    <row r="38">
      <c r="A38" s="6" t="inlineStr">
        <is>
          <t>Chennai</t>
        </is>
      </c>
      <c r="B38" s="6" t="inlineStr">
        <is>
          <t>Area_B</t>
        </is>
      </c>
      <c r="C38" s="15" t="n">
        <v>14</v>
      </c>
      <c r="D38" s="15" t="n">
        <v>380</v>
      </c>
      <c r="E38" s="15" t="n">
        <v>389714.38</v>
      </c>
      <c r="F38" s="28" t="n">
        <v>2.5</v>
      </c>
      <c r="G38" s="15" t="n">
        <v>1025.56</v>
      </c>
      <c r="H38" s="30" t="n">
        <v>27.14</v>
      </c>
      <c r="I38" s="30" t="n">
        <v>-13.72</v>
      </c>
      <c r="J38" s="6" t="inlineStr">
        <is>
          <t>Volume</t>
        </is>
      </c>
      <c r="K38" s="6" t="n">
        <v>22</v>
      </c>
    </row>
    <row r="39">
      <c r="A39" s="6" t="inlineStr">
        <is>
          <t>Bangalore</t>
        </is>
      </c>
      <c r="B39" s="6" t="inlineStr">
        <is>
          <t>Area_E</t>
        </is>
      </c>
      <c r="C39" s="15" t="n">
        <v>12</v>
      </c>
      <c r="D39" s="15" t="n">
        <v>354</v>
      </c>
      <c r="E39" s="15" t="n">
        <v>383945.61</v>
      </c>
      <c r="F39" s="28" t="n">
        <v>2.47</v>
      </c>
      <c r="G39" s="15" t="n">
        <v>1084.59</v>
      </c>
      <c r="H39" s="30" t="n">
        <v>29.5</v>
      </c>
      <c r="I39" s="30" t="n">
        <v>45.31</v>
      </c>
      <c r="J39" s="6" t="inlineStr">
        <is>
          <t>Basket</t>
        </is>
      </c>
      <c r="K39" s="6" t="n">
        <v>23</v>
      </c>
    </row>
    <row r="40">
      <c r="A40" s="6" t="inlineStr">
        <is>
          <t>Delhi</t>
        </is>
      </c>
      <c r="B40" s="6" t="inlineStr">
        <is>
          <t>Area_A</t>
        </is>
      </c>
      <c r="C40" s="15" t="n">
        <v>12</v>
      </c>
      <c r="D40" s="15" t="n">
        <v>351</v>
      </c>
      <c r="E40" s="15" t="n">
        <v>363063.44</v>
      </c>
      <c r="F40" s="28" t="n">
        <v>2.33</v>
      </c>
      <c r="G40" s="15" t="n">
        <v>1034.37</v>
      </c>
      <c r="H40" s="30" t="n">
        <v>29.25</v>
      </c>
      <c r="I40" s="30" t="n">
        <v>-4.91</v>
      </c>
      <c r="J40" s="6" t="inlineStr">
        <is>
          <t>Volume</t>
        </is>
      </c>
      <c r="K40" s="6" t="n">
        <v>24</v>
      </c>
    </row>
    <row r="41">
      <c r="A41" s="6" t="inlineStr">
        <is>
          <t>Bangalore</t>
        </is>
      </c>
      <c r="B41" s="6" t="inlineStr">
        <is>
          <t>Area_C</t>
        </is>
      </c>
      <c r="C41" s="15" t="n">
        <v>11</v>
      </c>
      <c r="D41" s="15" t="n">
        <v>346</v>
      </c>
      <c r="E41" s="15" t="n">
        <v>359107.83</v>
      </c>
      <c r="F41" s="28" t="n">
        <v>2.31</v>
      </c>
      <c r="G41" s="15" t="n">
        <v>1037.88</v>
      </c>
      <c r="H41" s="30" t="n">
        <v>31.45</v>
      </c>
      <c r="I41" s="30" t="n">
        <v>-1.4</v>
      </c>
      <c r="J41" s="6" t="inlineStr">
        <is>
          <t>Volume</t>
        </is>
      </c>
      <c r="K41" s="6" t="n">
        <v>25</v>
      </c>
    </row>
    <row r="42"/>
    <row r="43" ht="22" customHeight="1">
      <c r="A43" s="3" t="inlineStr">
        <is>
          <t>CUISINE PERFORMANCE</t>
        </is>
      </c>
    </row>
    <row r="44" ht="28" customHeight="1">
      <c r="A44" s="7" t="inlineStr">
        <is>
          <t>Cuisine</t>
        </is>
      </c>
      <c r="B44" s="7" t="inlineStr">
        <is>
          <t>Restaurants</t>
        </is>
      </c>
      <c r="C44" s="7" t="inlineStr">
        <is>
          <t>Orders</t>
        </is>
      </c>
      <c r="D44" s="7" t="inlineStr">
        <is>
          <t>Revenue</t>
        </is>
      </c>
      <c r="E44" s="7" t="inlineStr">
        <is>
          <t>AOV</t>
        </is>
      </c>
      <c r="F44" s="7" t="inlineStr">
        <is>
          <t>Avg rating</t>
        </is>
      </c>
      <c r="G44" s="7" t="inlineStr">
        <is>
          <t>Orders per restaurant</t>
        </is>
      </c>
    </row>
    <row r="45">
      <c r="A45" s="6" t="inlineStr">
        <is>
          <t>Thai</t>
        </is>
      </c>
      <c r="B45" s="15" t="n">
        <v>108</v>
      </c>
      <c r="C45" s="15" t="n">
        <v>3267</v>
      </c>
      <c r="D45" s="15" t="n">
        <v>3430538.66</v>
      </c>
      <c r="E45" s="15" t="n">
        <v>1050.06</v>
      </c>
      <c r="F45" s="26" t="n">
        <v>2.999</v>
      </c>
      <c r="G45" s="30" t="n">
        <v>30.25</v>
      </c>
    </row>
    <row r="46">
      <c r="A46" s="6" t="inlineStr">
        <is>
          <t>Italian</t>
        </is>
      </c>
      <c r="B46" s="15" t="n">
        <v>102</v>
      </c>
      <c r="C46" s="15" t="n">
        <v>3104</v>
      </c>
      <c r="D46" s="15" t="n">
        <v>3226915.61</v>
      </c>
      <c r="E46" s="15" t="n">
        <v>1039.6</v>
      </c>
      <c r="F46" s="26" t="n">
        <v>3.001</v>
      </c>
      <c r="G46" s="30" t="n">
        <v>30.43</v>
      </c>
    </row>
    <row r="47">
      <c r="A47" s="6" t="inlineStr">
        <is>
          <t>Indian</t>
        </is>
      </c>
      <c r="B47" s="15" t="n">
        <v>102</v>
      </c>
      <c r="C47" s="15" t="n">
        <v>3068</v>
      </c>
      <c r="D47" s="15" t="n">
        <v>3146671.25</v>
      </c>
      <c r="E47" s="15" t="n">
        <v>1025.64</v>
      </c>
      <c r="F47" s="26" t="n">
        <v>3.017</v>
      </c>
      <c r="G47" s="30" t="n">
        <v>30.08</v>
      </c>
    </row>
    <row r="48">
      <c r="A48" s="6" t="inlineStr">
        <is>
          <t>Mexican</t>
        </is>
      </c>
      <c r="B48" s="15" t="n">
        <v>101</v>
      </c>
      <c r="C48" s="15" t="n">
        <v>3011</v>
      </c>
      <c r="D48" s="15" t="n">
        <v>3134943.2</v>
      </c>
      <c r="E48" s="15" t="n">
        <v>1041.16</v>
      </c>
      <c r="F48" s="26" t="n">
        <v>2.991</v>
      </c>
      <c r="G48" s="30" t="n">
        <v>29.81</v>
      </c>
    </row>
    <row r="49">
      <c r="A49" s="6" t="inlineStr">
        <is>
          <t>Chinese</t>
        </is>
      </c>
      <c r="B49" s="15" t="n">
        <v>87</v>
      </c>
      <c r="C49" s="15" t="n">
        <v>2550</v>
      </c>
      <c r="D49" s="15" t="n">
        <v>2634817.92</v>
      </c>
      <c r="E49" s="15" t="n">
        <v>1033.26</v>
      </c>
      <c r="F49" s="26" t="n">
        <v>3.019</v>
      </c>
      <c r="G49" s="30" t="n">
        <v>29.31</v>
      </c>
    </row>
    <row r="50"/>
    <row r="51">
      <c r="A51" s="8" t="inlineStr">
        <is>
          <t>Thai leads revenue at Rs 3,430,539 and Chinese trails at Rs 2,634,818, but Thai has 108 restaurants against Chinese's 87. Orders per restaurant spans only 29.31-30.43 and ANOVA finds no difference in order value by cuisine. No cuisine is commercially stronger than another.</t>
        </is>
      </c>
    </row>
    <row r="52"/>
    <row r="53"/>
    <row r="54" ht="22" customHeight="1">
      <c r="A54" s="3" t="inlineStr">
        <is>
          <t>PRICE TIER x DELIVERY AVAILABILITY</t>
        </is>
      </c>
    </row>
    <row r="55" ht="28" customHeight="1">
      <c r="A55" s="7" t="inlineStr">
        <is>
          <t>Price range</t>
        </is>
      </c>
      <c r="B55" s="7" t="inlineStr">
        <is>
          <t>Delivery?</t>
        </is>
      </c>
      <c r="C55" s="7" t="inlineStr">
        <is>
          <t>Restaurants</t>
        </is>
      </c>
      <c r="D55" s="7" t="inlineStr">
        <is>
          <t>Orders</t>
        </is>
      </c>
      <c r="E55" s="7" t="inlineStr">
        <is>
          <t>Revenue</t>
        </is>
      </c>
      <c r="F55" s="7" t="inlineStr">
        <is>
          <t>AOV</t>
        </is>
      </c>
      <c r="G55" s="7" t="inlineStr">
        <is>
          <t>Avg rating</t>
        </is>
      </c>
    </row>
    <row r="56">
      <c r="A56" s="6" t="inlineStr">
        <is>
          <t>High</t>
        </is>
      </c>
      <c r="B56" s="6" t="inlineStr">
        <is>
          <t>No</t>
        </is>
      </c>
      <c r="C56" s="15" t="n">
        <v>96</v>
      </c>
      <c r="D56" s="15" t="n">
        <v>2928</v>
      </c>
      <c r="E56" s="15" t="n">
        <v>3028800.51</v>
      </c>
      <c r="F56" s="15" t="n">
        <v>1034.43</v>
      </c>
      <c r="G56" s="26" t="n">
        <v>2.985</v>
      </c>
    </row>
    <row r="57">
      <c r="A57" s="6" t="inlineStr">
        <is>
          <t>High</t>
        </is>
      </c>
      <c r="B57" s="6" t="inlineStr">
        <is>
          <t>Yes</t>
        </is>
      </c>
      <c r="C57" s="15" t="n">
        <v>79</v>
      </c>
      <c r="D57" s="15" t="n">
        <v>2448</v>
      </c>
      <c r="E57" s="15" t="n">
        <v>2567557.79</v>
      </c>
      <c r="F57" s="15" t="n">
        <v>1048.84</v>
      </c>
      <c r="G57" s="26" t="n">
        <v>2.973</v>
      </c>
    </row>
    <row r="58">
      <c r="A58" s="6" t="inlineStr">
        <is>
          <t>Low</t>
        </is>
      </c>
      <c r="B58" s="6" t="inlineStr">
        <is>
          <t>No</t>
        </is>
      </c>
      <c r="C58" s="15" t="n">
        <v>70</v>
      </c>
      <c r="D58" s="15" t="n">
        <v>2089</v>
      </c>
      <c r="E58" s="15" t="n">
        <v>2189264.92</v>
      </c>
      <c r="F58" s="15" t="n">
        <v>1048</v>
      </c>
      <c r="G58" s="26" t="n">
        <v>2.979</v>
      </c>
    </row>
    <row r="59">
      <c r="A59" s="6" t="inlineStr">
        <is>
          <t>Low</t>
        </is>
      </c>
      <c r="B59" s="6" t="inlineStr">
        <is>
          <t>Yes</t>
        </is>
      </c>
      <c r="C59" s="15" t="n">
        <v>88</v>
      </c>
      <c r="D59" s="15" t="n">
        <v>2580</v>
      </c>
      <c r="E59" s="15" t="n">
        <v>2658356.18</v>
      </c>
      <c r="F59" s="15" t="n">
        <v>1030.37</v>
      </c>
      <c r="G59" s="26" t="n">
        <v>3.027</v>
      </c>
    </row>
    <row r="60">
      <c r="A60" s="6" t="inlineStr">
        <is>
          <t>Medium</t>
        </is>
      </c>
      <c r="B60" s="6" t="inlineStr">
        <is>
          <t>No</t>
        </is>
      </c>
      <c r="C60" s="15" t="n">
        <v>81</v>
      </c>
      <c r="D60" s="15" t="n">
        <v>2406</v>
      </c>
      <c r="E60" s="15" t="n">
        <v>2508387.14</v>
      </c>
      <c r="F60" s="15" t="n">
        <v>1042.55</v>
      </c>
      <c r="G60" s="26" t="n">
        <v>3.016</v>
      </c>
    </row>
    <row r="61">
      <c r="A61" s="6" t="inlineStr">
        <is>
          <t>Medium</t>
        </is>
      </c>
      <c r="B61" s="6" t="inlineStr">
        <is>
          <t>Yes</t>
        </is>
      </c>
      <c r="C61" s="15" t="n">
        <v>86</v>
      </c>
      <c r="D61" s="15" t="n">
        <v>2549</v>
      </c>
      <c r="E61" s="15" t="n">
        <v>2621520.1</v>
      </c>
      <c r="F61" s="15" t="n">
        <v>1028.45</v>
      </c>
      <c r="G61" s="26" t="n">
        <v>3.045</v>
      </c>
    </row>
    <row r="62"/>
    <row r="63" ht="22" customHeight="1">
      <c r="A63" s="3" t="inlineStr">
        <is>
          <t>PAYMENT METHOD MIX</t>
        </is>
      </c>
    </row>
    <row r="64" ht="28" customHeight="1">
      <c r="A64" s="7" t="inlineStr">
        <is>
          <t>Payment method</t>
        </is>
      </c>
      <c r="B64" s="7" t="inlineStr">
        <is>
          <t>Orders</t>
        </is>
      </c>
      <c r="C64" s="7" t="inlineStr">
        <is>
          <t>% of orders</t>
        </is>
      </c>
      <c r="D64" s="7" t="inlineStr">
        <is>
          <t>Revenue</t>
        </is>
      </c>
      <c r="E64" s="7" t="inlineStr">
        <is>
          <t>AOV</t>
        </is>
      </c>
      <c r="F64" s="7" t="inlineStr">
        <is>
          <t>Avg items</t>
        </is>
      </c>
      <c r="G64" s="7" t="inlineStr">
        <is>
          <t>Avg rating</t>
        </is>
      </c>
    </row>
    <row r="65">
      <c r="A65" s="6" t="inlineStr">
        <is>
          <t>Credit Card</t>
        </is>
      </c>
      <c r="B65" s="15" t="n">
        <v>3050</v>
      </c>
      <c r="C65" s="28" t="n">
        <v>20.33</v>
      </c>
      <c r="D65" s="15" t="n">
        <v>3161177.76</v>
      </c>
      <c r="E65" s="15" t="n">
        <v>1036.45</v>
      </c>
      <c r="F65" s="30" t="n">
        <v>5.64</v>
      </c>
      <c r="G65" s="26" t="n">
        <v>3.004</v>
      </c>
    </row>
    <row r="66">
      <c r="A66" s="6" t="inlineStr">
        <is>
          <t>UPI</t>
        </is>
      </c>
      <c r="B66" s="15" t="n">
        <v>3028</v>
      </c>
      <c r="C66" s="28" t="n">
        <v>20.19</v>
      </c>
      <c r="D66" s="15" t="n">
        <v>3156057.71</v>
      </c>
      <c r="E66" s="15" t="n">
        <v>1042.29</v>
      </c>
      <c r="F66" s="30" t="n">
        <v>5.6</v>
      </c>
      <c r="G66" s="26" t="n">
        <v>3.017</v>
      </c>
    </row>
    <row r="67">
      <c r="A67" s="6" t="inlineStr">
        <is>
          <t>Wallet</t>
        </is>
      </c>
      <c r="B67" s="15" t="n">
        <v>2988</v>
      </c>
      <c r="C67" s="28" t="n">
        <v>19.92</v>
      </c>
      <c r="D67" s="15" t="n">
        <v>3099497.25</v>
      </c>
      <c r="E67" s="15" t="n">
        <v>1037.32</v>
      </c>
      <c r="F67" s="30" t="n">
        <v>5.57</v>
      </c>
      <c r="G67" s="26" t="n">
        <v>2.981</v>
      </c>
    </row>
    <row r="68">
      <c r="A68" s="6" t="inlineStr">
        <is>
          <t>Net Banking</t>
        </is>
      </c>
      <c r="B68" s="15" t="n">
        <v>2984</v>
      </c>
      <c r="C68" s="28" t="n">
        <v>19.89</v>
      </c>
      <c r="D68" s="15" t="n">
        <v>3110827.15</v>
      </c>
      <c r="E68" s="15" t="n">
        <v>1042.5</v>
      </c>
      <c r="F68" s="30" t="n">
        <v>5.41</v>
      </c>
      <c r="G68" s="26" t="n">
        <v>2.988</v>
      </c>
    </row>
    <row r="69">
      <c r="A69" s="6" t="inlineStr">
        <is>
          <t>COD</t>
        </is>
      </c>
      <c r="B69" s="15" t="n">
        <v>2950</v>
      </c>
      <c r="C69" s="28" t="n">
        <v>19.67</v>
      </c>
      <c r="D69" s="15" t="n">
        <v>3046326.77</v>
      </c>
      <c r="E69" s="15" t="n">
        <v>1032.65</v>
      </c>
      <c r="F69" s="30" t="n">
        <v>5.5</v>
      </c>
      <c r="G69" s="26" t="n">
        <v>3.033</v>
      </c>
    </row>
    <row r="70"/>
    <row r="71">
      <c r="A71" s="8" t="inlineStr">
        <is>
          <t>Payment is the one dimension that is genuinely even by design - chi-square of 0.17 against a 9.49 critical value. All five rails sit within 2% of a 20% share and no rail carries a larger basket.</t>
        </is>
      </c>
    </row>
  </sheetData>
  <mergeCells count="10">
    <mergeCell ref="A12:K12"/>
    <mergeCell ref="A4:K4"/>
    <mergeCell ref="A54:K54"/>
    <mergeCell ref="A15:K15"/>
    <mergeCell ref="A43:K43"/>
    <mergeCell ref="A2:K2"/>
    <mergeCell ref="A51:K51"/>
    <mergeCell ref="A63:K63"/>
    <mergeCell ref="A71:K71"/>
    <mergeCell ref="A1:K1"/>
  </mergeCells>
  <pageMargins left="0.75" right="0.75" top="1" bottom="1" header="0.5" footer="0.5"/>
  <tableParts count="5">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s>
</worksheet>
</file>

<file path=xl/worksheets/sheet11.xml><?xml version="1.0" encoding="utf-8"?>
<worksheet xmlns="http://schemas.openxmlformats.org/spreadsheetml/2006/main">
  <sheetPr>
    <outlinePr summaryBelow="1" summaryRight="1"/>
    <pageSetUpPr/>
  </sheetPr>
  <dimension ref="A1:O74"/>
  <sheetViews>
    <sheetView showGridLines="0" workbookViewId="0">
      <selection activeCell="A1" sqref="A1"/>
    </sheetView>
  </sheetViews>
  <sheetFormatPr baseColWidth="8" defaultRowHeight="15"/>
  <cols>
    <col width="34" customWidth="1" min="1" max="1"/>
    <col width="34" customWidth="1" min="2" max="2"/>
    <col width="34" customWidth="1" min="3" max="3"/>
    <col width="23" customWidth="1" min="4" max="4"/>
    <col width="24" customWidth="1" min="5" max="5"/>
    <col width="14" customWidth="1" min="6" max="6"/>
    <col width="18" customWidth="1" min="7" max="7"/>
    <col width="14" customWidth="1" min="8" max="8"/>
    <col width="10" customWidth="1" min="9" max="9"/>
    <col width="13" customWidth="1" min="10" max="10"/>
    <col width="15" customWidth="1" min="11" max="11"/>
    <col width="16" customWidth="1" min="12" max="12"/>
    <col width="18" customWidth="1" min="13" max="13"/>
    <col width="21" customWidth="1" min="14" max="14"/>
    <col width="13" customWidth="1" min="15" max="15"/>
  </cols>
  <sheetData>
    <row r="1" ht="30" customHeight="1">
      <c r="A1" s="1" t="inlineStr">
        <is>
          <t>Brief Task 2 - SQL Deliverables</t>
        </is>
      </c>
    </row>
    <row r="2">
      <c r="A2" s="2" t="inlineStr">
        <is>
          <t>The six transformations the brief asks for: cleaning, exploration, aggregation, join, export</t>
        </is>
      </c>
    </row>
    <row r="3"/>
    <row r="4" ht="22" customHeight="1">
      <c r="A4" s="3" t="inlineStr">
        <is>
          <t>TASK 2.1 - BASIC DATA CLEANING (RESULT)</t>
        </is>
      </c>
    </row>
    <row r="5" ht="28" customHeight="1">
      <c r="A5" s="5" t="inlineStr">
        <is>
          <t>Brief requirement</t>
        </is>
      </c>
      <c r="B5" s="5" t="inlineStr">
        <is>
          <t>What was found</t>
        </is>
      </c>
      <c r="C5" s="5" t="inlineStr">
        <is>
          <t>How it was handled</t>
        </is>
      </c>
    </row>
    <row r="6">
      <c r="A6" s="6" t="inlineStr">
        <is>
          <t>Remove duplicate records</t>
        </is>
      </c>
      <c r="B6" s="6" t="inlineStr">
        <is>
          <t>0 duplicate order_id, 0 duplicate restaurant_id</t>
        </is>
      </c>
      <c r="C6" s="6" t="inlineStr">
        <is>
          <t>ROW_NUMBER() OVER (PARTITION BY key) de-dup written anyway, so the pipeline is safe if the source changes</t>
        </is>
      </c>
    </row>
    <row r="7">
      <c r="A7" s="6" t="inlineStr">
        <is>
          <t>Handle NULL values</t>
        </is>
      </c>
      <c r="B7" s="6" t="inlineStr">
        <is>
          <t>0 NULLs across all 19 business columns</t>
        </is>
      </c>
      <c r="C7" s="6" t="inlineStr">
        <is>
          <t>COALESCE(NULLIF(TRIM(col),''),'Unknown') applied to payment_method as the brief requires</t>
        </is>
      </c>
    </row>
    <row r="8">
      <c r="A8" s="6" t="inlineStr">
        <is>
          <t>Fix data types</t>
        </is>
      </c>
      <c r="B8" s="6" t="inlineStr">
        <is>
          <t>All dates, times and numerics parsed cleanly</t>
        </is>
      </c>
      <c r="C8" s="6" t="inlineStr">
        <is>
          <t>STR_TO_DATE / CAST in MySQL; explicit typing in the SQLite build</t>
        </is>
      </c>
    </row>
    <row r="9">
      <c r="A9" s="6" t="inlineStr">
        <is>
          <t>Key integrity</t>
        </is>
      </c>
      <c r="B9" s="6" t="inlineStr">
        <is>
          <t>385 keys corrupted by Excel into scientific notation</t>
        </is>
      </c>
      <c r="C9" s="6" t="inlineStr">
        <is>
          <t>Flagged not repaired - corruption is identical in both files so the join still resolves</t>
        </is>
      </c>
    </row>
    <row r="10"/>
    <row r="11" ht="22" customHeight="1">
      <c r="A11" s="3" t="inlineStr">
        <is>
          <t>TASK 2.2a - RESTAURANTS PER CITY</t>
        </is>
      </c>
    </row>
    <row r="12" ht="28" customHeight="1">
      <c r="A12" s="5" t="inlineStr">
        <is>
          <t>City</t>
        </is>
      </c>
      <c r="B12" s="5" t="inlineStr">
        <is>
          <t>Restaurants</t>
        </is>
      </c>
      <c r="C12" s="5" t="inlineStr">
        <is>
          <t>% of network</t>
        </is>
      </c>
      <c r="D12" s="5" t="inlineStr">
        <is>
          <t>Avg published rating</t>
        </is>
      </c>
      <c r="E12" s="5" t="inlineStr">
        <is>
          <t>Delivery enabled</t>
        </is>
      </c>
    </row>
    <row r="13">
      <c r="A13" s="6" t="inlineStr">
        <is>
          <t>Mumbai</t>
        </is>
      </c>
      <c r="B13" s="15" t="n">
        <v>115</v>
      </c>
      <c r="C13" s="28" t="n">
        <v>23</v>
      </c>
      <c r="D13" s="30" t="n">
        <v>3.75</v>
      </c>
      <c r="E13" s="15" t="n">
        <v>57</v>
      </c>
    </row>
    <row r="14">
      <c r="A14" s="6" t="inlineStr">
        <is>
          <t>Bangalore</t>
        </is>
      </c>
      <c r="B14" s="15" t="n">
        <v>109</v>
      </c>
      <c r="C14" s="28" t="n">
        <v>21.8</v>
      </c>
      <c r="D14" s="30" t="n">
        <v>3.74</v>
      </c>
      <c r="E14" s="15" t="n">
        <v>53</v>
      </c>
    </row>
    <row r="15">
      <c r="A15" s="6" t="inlineStr">
        <is>
          <t>Delhi</t>
        </is>
      </c>
      <c r="B15" s="15" t="n">
        <v>93</v>
      </c>
      <c r="C15" s="28" t="n">
        <v>18.6</v>
      </c>
      <c r="D15" s="30" t="n">
        <v>3.78</v>
      </c>
      <c r="E15" s="15" t="n">
        <v>49</v>
      </c>
    </row>
    <row r="16">
      <c r="A16" s="6" t="inlineStr">
        <is>
          <t>Kolkata</t>
        </is>
      </c>
      <c r="B16" s="15" t="n">
        <v>92</v>
      </c>
      <c r="C16" s="28" t="n">
        <v>18.4</v>
      </c>
      <c r="D16" s="30" t="n">
        <v>3.65</v>
      </c>
      <c r="E16" s="15" t="n">
        <v>45</v>
      </c>
    </row>
    <row r="17">
      <c r="A17" s="6" t="inlineStr">
        <is>
          <t>Chennai</t>
        </is>
      </c>
      <c r="B17" s="15" t="n">
        <v>91</v>
      </c>
      <c r="C17" s="28" t="n">
        <v>18.2</v>
      </c>
      <c r="D17" s="30" t="n">
        <v>3.86</v>
      </c>
      <c r="E17" s="15" t="n">
        <v>49</v>
      </c>
    </row>
    <row r="18"/>
    <row r="19" ht="22" customHeight="1">
      <c r="A19" s="3" t="inlineStr">
        <is>
          <t>TASK 2.2b - TOP 5 CITIES BY ORDERS</t>
        </is>
      </c>
    </row>
    <row r="20" ht="28" customHeight="1">
      <c r="A20" s="7" t="inlineStr">
        <is>
          <t>City</t>
        </is>
      </c>
      <c r="B20" s="7" t="inlineStr">
        <is>
          <t>Orders</t>
        </is>
      </c>
      <c r="C20" s="7" t="inlineStr">
        <is>
          <t>Revenue</t>
        </is>
      </c>
      <c r="D20" s="7" t="inlineStr">
        <is>
          <t>Restaurants</t>
        </is>
      </c>
      <c r="E20" s="7" t="inlineStr">
        <is>
          <t>Orders per restaurant</t>
        </is>
      </c>
      <c r="F20" s="7" t="inlineStr">
        <is>
          <t>AOV</t>
        </is>
      </c>
    </row>
    <row r="21">
      <c r="A21" s="6" t="inlineStr">
        <is>
          <t>Mumbai</t>
        </is>
      </c>
      <c r="B21" s="15" t="n">
        <v>3384</v>
      </c>
      <c r="C21" s="15" t="n">
        <v>3505818.25</v>
      </c>
      <c r="D21" s="15" t="n">
        <v>115</v>
      </c>
      <c r="E21" s="30" t="n">
        <v>29.43</v>
      </c>
      <c r="F21" s="15" t="n">
        <v>1036</v>
      </c>
    </row>
    <row r="22">
      <c r="A22" s="6" t="inlineStr">
        <is>
          <t>Bangalore</t>
        </is>
      </c>
      <c r="B22" s="15" t="n">
        <v>3300</v>
      </c>
      <c r="C22" s="15" t="n">
        <v>3434894.36</v>
      </c>
      <c r="D22" s="15" t="n">
        <v>109</v>
      </c>
      <c r="E22" s="30" t="n">
        <v>30.28</v>
      </c>
      <c r="F22" s="15" t="n">
        <v>1040.88</v>
      </c>
    </row>
    <row r="23">
      <c r="A23" s="6" t="inlineStr">
        <is>
          <t>Delhi</t>
        </is>
      </c>
      <c r="B23" s="15" t="n">
        <v>2857</v>
      </c>
      <c r="C23" s="15" t="n">
        <v>2954099.45</v>
      </c>
      <c r="D23" s="15" t="n">
        <v>93</v>
      </c>
      <c r="E23" s="30" t="n">
        <v>30.72</v>
      </c>
      <c r="F23" s="15" t="n">
        <v>1033.99</v>
      </c>
    </row>
    <row r="24">
      <c r="A24" s="6" t="inlineStr">
        <is>
          <t>Kolkata</t>
        </is>
      </c>
      <c r="B24" s="15" t="n">
        <v>2732</v>
      </c>
      <c r="C24" s="15" t="n">
        <v>2839920.88</v>
      </c>
      <c r="D24" s="15" t="n">
        <v>92</v>
      </c>
      <c r="E24" s="30" t="n">
        <v>29.7</v>
      </c>
      <c r="F24" s="15" t="n">
        <v>1039.5</v>
      </c>
    </row>
    <row r="25">
      <c r="A25" s="6" t="inlineStr">
        <is>
          <t>Chennai</t>
        </is>
      </c>
      <c r="B25" s="15" t="n">
        <v>2727</v>
      </c>
      <c r="C25" s="15" t="n">
        <v>2839153.7</v>
      </c>
      <c r="D25" s="15" t="n">
        <v>91</v>
      </c>
      <c r="E25" s="30" t="n">
        <v>29.97</v>
      </c>
      <c r="F25" s="15" t="n">
        <v>1041.13</v>
      </c>
    </row>
    <row r="26"/>
    <row r="27" ht="22" customHeight="1">
      <c r="A27" s="3" t="inlineStr">
        <is>
          <t>TASK 2.3a - AVERAGE ORDER AMOUNT PER CITY</t>
        </is>
      </c>
    </row>
    <row r="28" ht="28" customHeight="1">
      <c r="A28" s="7" t="inlineStr">
        <is>
          <t>City</t>
        </is>
      </c>
      <c r="B28" s="7" t="inlineStr">
        <is>
          <t>Orders</t>
        </is>
      </c>
      <c r="C28" s="7" t="inlineStr">
        <is>
          <t>AOV</t>
        </is>
      </c>
      <c r="D28" s="7" t="inlineStr">
        <is>
          <t>Min order</t>
        </is>
      </c>
      <c r="E28" s="7" t="inlineStr">
        <is>
          <t>Max order</t>
        </is>
      </c>
      <c r="F28" s="7" t="inlineStr">
        <is>
          <t>Std dev</t>
        </is>
      </c>
      <c r="G28" s="7" t="inlineStr">
        <is>
          <t>vs national avg</t>
        </is>
      </c>
    </row>
    <row r="29">
      <c r="A29" s="6" t="inlineStr">
        <is>
          <t>Chennai</t>
        </is>
      </c>
      <c r="B29" s="15" t="n">
        <v>2727</v>
      </c>
      <c r="C29" s="15" t="n">
        <v>1041.13</v>
      </c>
      <c r="D29" s="15" t="n">
        <v>100.37</v>
      </c>
      <c r="E29" s="15" t="n">
        <v>1998.42</v>
      </c>
      <c r="F29" s="15" t="n">
        <v>549.3</v>
      </c>
      <c r="G29" s="30" t="n">
        <v>2.87</v>
      </c>
    </row>
    <row r="30">
      <c r="A30" s="6" t="inlineStr">
        <is>
          <t>Bangalore</t>
        </is>
      </c>
      <c r="B30" s="15" t="n">
        <v>3300</v>
      </c>
      <c r="C30" s="15" t="n">
        <v>1040.88</v>
      </c>
      <c r="D30" s="15" t="n">
        <v>100.71</v>
      </c>
      <c r="E30" s="15" t="n">
        <v>1999.82</v>
      </c>
      <c r="F30" s="15" t="n">
        <v>556.7</v>
      </c>
      <c r="G30" s="30" t="n">
        <v>2.62</v>
      </c>
    </row>
    <row r="31">
      <c r="A31" s="6" t="inlineStr">
        <is>
          <t>Kolkata</t>
        </is>
      </c>
      <c r="B31" s="15" t="n">
        <v>2732</v>
      </c>
      <c r="C31" s="15" t="n">
        <v>1039.5</v>
      </c>
      <c r="D31" s="15" t="n">
        <v>100.03</v>
      </c>
      <c r="E31" s="15" t="n">
        <v>1999.05</v>
      </c>
      <c r="F31" s="15" t="n">
        <v>550.5</v>
      </c>
      <c r="G31" s="30" t="n">
        <v>1.24</v>
      </c>
    </row>
    <row r="32">
      <c r="A32" s="6" t="inlineStr">
        <is>
          <t>Mumbai</t>
        </is>
      </c>
      <c r="B32" s="15" t="n">
        <v>3384</v>
      </c>
      <c r="C32" s="15" t="n">
        <v>1036</v>
      </c>
      <c r="D32" s="15" t="n">
        <v>100.73</v>
      </c>
      <c r="E32" s="15" t="n">
        <v>1999.48</v>
      </c>
      <c r="F32" s="15" t="n">
        <v>555.42</v>
      </c>
      <c r="G32" s="30" t="n">
        <v>-2.26</v>
      </c>
    </row>
    <row r="33">
      <c r="A33" s="6" t="inlineStr">
        <is>
          <t>Delhi</t>
        </is>
      </c>
      <c r="B33" s="15" t="n">
        <v>2857</v>
      </c>
      <c r="C33" s="15" t="n">
        <v>1033.99</v>
      </c>
      <c r="D33" s="15" t="n">
        <v>100.64</v>
      </c>
      <c r="E33" s="15" t="n">
        <v>1998.91</v>
      </c>
      <c r="F33" s="15" t="n">
        <v>547.9299999999999</v>
      </c>
      <c r="G33" s="30" t="n">
        <v>-4.27</v>
      </c>
    </row>
    <row r="34"/>
    <row r="35">
      <c r="A35" s="8" t="inlineStr">
        <is>
          <t>City AOVs span Rs 1,033.99 to Rs 1,041.13 - a range of Rs 7.14 against a standard deviation of around Rs 552 per order. The city means are statistically indistinguishable (ANOVA F = 0.097 against a 2.37 critical value).</t>
        </is>
      </c>
    </row>
    <row r="36"/>
    <row r="37"/>
    <row r="38" ht="22" customHeight="1">
      <c r="A38" s="3" t="inlineStr">
        <is>
          <t>TASK 2.3b - TOP 5 RESTAURANTS BY TOTAL SALES</t>
        </is>
      </c>
    </row>
    <row r="39" ht="28" customHeight="1">
      <c r="A39" s="34" t="inlineStr">
        <is>
          <t>Rank</t>
        </is>
      </c>
      <c r="B39" s="34" t="inlineStr">
        <is>
          <t>Restaurant</t>
        </is>
      </c>
      <c r="C39" s="34" t="inlineStr">
        <is>
          <t>City</t>
        </is>
      </c>
      <c r="D39" s="34" t="inlineStr">
        <is>
          <t>Area</t>
        </is>
      </c>
      <c r="E39" s="34" t="inlineStr">
        <is>
          <t>Cuisine</t>
        </is>
      </c>
      <c r="F39" s="34" t="inlineStr">
        <is>
          <t>Price range</t>
        </is>
      </c>
      <c r="G39" s="34" t="inlineStr">
        <is>
          <t>Orders</t>
        </is>
      </c>
      <c r="H39" s="34" t="inlineStr">
        <is>
          <t>Revenue</t>
        </is>
      </c>
      <c r="I39" s="34" t="inlineStr">
        <is>
          <t>AOV</t>
        </is>
      </c>
      <c r="J39" s="34" t="inlineStr">
        <is>
          <t>Avg rating</t>
        </is>
      </c>
      <c r="K39" s="34" t="inlineStr">
        <is>
          <t>Avg delivery</t>
        </is>
      </c>
      <c r="L39" s="34" t="inlineStr">
        <is>
          <t>Orders vs avg</t>
        </is>
      </c>
      <c r="M39" s="34" t="inlineStr">
        <is>
          <t>AOV vs avg</t>
        </is>
      </c>
      <c r="N39" s="34" t="inlineStr">
        <is>
          <t>What drove the win</t>
        </is>
      </c>
    </row>
    <row r="40">
      <c r="A40" s="6" t="n">
        <v>1</v>
      </c>
      <c r="B40" s="6" t="inlineStr">
        <is>
          <t>Restaurant_116</t>
        </is>
      </c>
      <c r="C40" s="6" t="inlineStr">
        <is>
          <t>Bangalore</t>
        </is>
      </c>
      <c r="D40" s="6" t="inlineStr">
        <is>
          <t>Area_C</t>
        </is>
      </c>
      <c r="E40" s="6" t="inlineStr">
        <is>
          <t>Indian</t>
        </is>
      </c>
      <c r="F40" s="6" t="inlineStr">
        <is>
          <t>Low</t>
        </is>
      </c>
      <c r="G40" s="15" t="n">
        <v>46</v>
      </c>
      <c r="H40" s="15" t="n">
        <v>50931.26</v>
      </c>
      <c r="I40" s="15" t="n">
        <v>1107.2</v>
      </c>
      <c r="J40" s="30" t="n">
        <v>3.25</v>
      </c>
      <c r="K40" s="29" t="n">
        <v>52.8</v>
      </c>
      <c r="L40" s="29" t="n">
        <v>16</v>
      </c>
      <c r="M40" s="30" t="n">
        <v>68.19</v>
      </c>
      <c r="N40" s="6" t="inlineStr">
        <is>
          <t>Volume + basket</t>
        </is>
      </c>
    </row>
    <row r="41">
      <c r="A41" s="6" t="n">
        <v>2</v>
      </c>
      <c r="B41" s="6" t="inlineStr">
        <is>
          <t>Restaurant_262</t>
        </is>
      </c>
      <c r="C41" s="6" t="inlineStr">
        <is>
          <t>Bangalore</t>
        </is>
      </c>
      <c r="D41" s="6" t="inlineStr">
        <is>
          <t>Area_D</t>
        </is>
      </c>
      <c r="E41" s="6" t="inlineStr">
        <is>
          <t>Mexican</t>
        </is>
      </c>
      <c r="F41" s="6" t="inlineStr">
        <is>
          <t>Medium</t>
        </is>
      </c>
      <c r="G41" s="15" t="n">
        <v>41</v>
      </c>
      <c r="H41" s="15" t="n">
        <v>48860.24</v>
      </c>
      <c r="I41" s="15" t="n">
        <v>1191.71</v>
      </c>
      <c r="J41" s="30" t="n">
        <v>3.12</v>
      </c>
      <c r="K41" s="29" t="n">
        <v>52.7</v>
      </c>
      <c r="L41" s="29" t="n">
        <v>11</v>
      </c>
      <c r="M41" s="30" t="n">
        <v>152.7</v>
      </c>
      <c r="N41" s="6" t="inlineStr">
        <is>
          <t>Volume + basket</t>
        </is>
      </c>
    </row>
    <row r="42">
      <c r="A42" s="6" t="n">
        <v>3</v>
      </c>
      <c r="B42" s="6" t="inlineStr">
        <is>
          <t>Restaurant_56</t>
        </is>
      </c>
      <c r="C42" s="6" t="inlineStr">
        <is>
          <t>Mumbai</t>
        </is>
      </c>
      <c r="D42" s="6" t="inlineStr">
        <is>
          <t>Area_E</t>
        </is>
      </c>
      <c r="E42" s="6" t="inlineStr">
        <is>
          <t>Thai</t>
        </is>
      </c>
      <c r="F42" s="6" t="inlineStr">
        <is>
          <t>Low</t>
        </is>
      </c>
      <c r="G42" s="15" t="n">
        <v>44</v>
      </c>
      <c r="H42" s="15" t="n">
        <v>48645.78</v>
      </c>
      <c r="I42" s="15" t="n">
        <v>1105.59</v>
      </c>
      <c r="J42" s="30" t="n">
        <v>2.78</v>
      </c>
      <c r="K42" s="29" t="n">
        <v>57.4</v>
      </c>
      <c r="L42" s="29" t="n">
        <v>14</v>
      </c>
      <c r="M42" s="30" t="n">
        <v>66.58</v>
      </c>
      <c r="N42" s="6" t="inlineStr">
        <is>
          <t>Volume + basket</t>
        </is>
      </c>
    </row>
    <row r="43">
      <c r="A43" s="6" t="n">
        <v>4</v>
      </c>
      <c r="B43" s="6" t="inlineStr">
        <is>
          <t>Restaurant_27</t>
        </is>
      </c>
      <c r="C43" s="6" t="inlineStr">
        <is>
          <t>Delhi</t>
        </is>
      </c>
      <c r="D43" s="6" t="inlineStr">
        <is>
          <t>Area_E</t>
        </is>
      </c>
      <c r="E43" s="6" t="inlineStr">
        <is>
          <t>Italian</t>
        </is>
      </c>
      <c r="F43" s="6" t="inlineStr">
        <is>
          <t>High</t>
        </is>
      </c>
      <c r="G43" s="15" t="n">
        <v>43</v>
      </c>
      <c r="H43" s="15" t="n">
        <v>48562.1</v>
      </c>
      <c r="I43" s="15" t="n">
        <v>1129.35</v>
      </c>
      <c r="J43" s="30" t="n">
        <v>2.95</v>
      </c>
      <c r="K43" s="29" t="n">
        <v>54.9</v>
      </c>
      <c r="L43" s="29" t="n">
        <v>13</v>
      </c>
      <c r="M43" s="30" t="n">
        <v>90.34</v>
      </c>
      <c r="N43" s="6" t="inlineStr">
        <is>
          <t>Volume + basket</t>
        </is>
      </c>
    </row>
    <row r="44">
      <c r="A44" s="6" t="n">
        <v>5</v>
      </c>
      <c r="B44" s="6" t="inlineStr">
        <is>
          <t>Restaurant_127</t>
        </is>
      </c>
      <c r="C44" s="6" t="inlineStr">
        <is>
          <t>Bangalore</t>
        </is>
      </c>
      <c r="D44" s="6" t="inlineStr">
        <is>
          <t>Area_B</t>
        </is>
      </c>
      <c r="E44" s="6" t="inlineStr">
        <is>
          <t>Indian</t>
        </is>
      </c>
      <c r="F44" s="6" t="inlineStr">
        <is>
          <t>High</t>
        </is>
      </c>
      <c r="G44" s="15" t="n">
        <v>50</v>
      </c>
      <c r="H44" s="15" t="n">
        <v>48203.2</v>
      </c>
      <c r="I44" s="15" t="n">
        <v>964.0599999999999</v>
      </c>
      <c r="J44" s="30" t="n">
        <v>2.79</v>
      </c>
      <c r="K44" s="29" t="n">
        <v>53</v>
      </c>
      <c r="L44" s="29" t="n">
        <v>20</v>
      </c>
      <c r="M44" s="30" t="n">
        <v>-74.94</v>
      </c>
      <c r="N44" s="6" t="inlineStr">
        <is>
          <t>Volume driven</t>
        </is>
      </c>
    </row>
    <row r="45"/>
    <row r="46" ht="22" customHeight="1">
      <c r="A46" s="3" t="inlineStr">
        <is>
          <t>TASK 2.4 - THE JOIN (SAMPLE OF 25 HIGHEST-VALUE ORDERS)</t>
        </is>
      </c>
    </row>
    <row r="47" ht="28" customHeight="1">
      <c r="A47" s="7" t="inlineStr">
        <is>
          <t>Order ID</t>
        </is>
      </c>
      <c r="B47" s="7" t="inlineStr">
        <is>
          <t>Date</t>
        </is>
      </c>
      <c r="C47" s="7" t="inlineStr">
        <is>
          <t>Time</t>
        </is>
      </c>
      <c r="D47" s="7" t="inlineStr">
        <is>
          <t>Restaurant</t>
        </is>
      </c>
      <c r="E47" s="7" t="inlineStr">
        <is>
          <t>City</t>
        </is>
      </c>
      <c r="F47" s="7" t="inlineStr">
        <is>
          <t>Area</t>
        </is>
      </c>
      <c r="G47" s="7" t="inlineStr">
        <is>
          <t>Cuisine</t>
        </is>
      </c>
      <c r="H47" s="7" t="inlineStr">
        <is>
          <t>Price range</t>
        </is>
      </c>
      <c r="I47" s="7" t="inlineStr">
        <is>
          <t>Items</t>
        </is>
      </c>
      <c r="J47" s="7" t="inlineStr">
        <is>
          <t>Total cost</t>
        </is>
      </c>
      <c r="K47" s="7" t="inlineStr">
        <is>
          <t>Payment</t>
        </is>
      </c>
      <c r="L47" s="7" t="inlineStr">
        <is>
          <t>Delivery min</t>
        </is>
      </c>
      <c r="M47" s="7" t="inlineStr">
        <is>
          <t>Customer rating</t>
        </is>
      </c>
      <c r="N47" s="7" t="inlineStr">
        <is>
          <t>Published rating</t>
        </is>
      </c>
      <c r="O47" s="7" t="inlineStr">
        <is>
          <t>Rating gap</t>
        </is>
      </c>
    </row>
    <row r="48">
      <c r="A48" s="6" t="inlineStr">
        <is>
          <t>c06a5c27</t>
        </is>
      </c>
      <c r="B48" s="6" t="inlineStr">
        <is>
          <t>2024-06-09</t>
        </is>
      </c>
      <c r="C48" s="6" t="inlineStr">
        <is>
          <t>12:51</t>
        </is>
      </c>
      <c r="D48" s="6" t="inlineStr">
        <is>
          <t>Restaurant_373</t>
        </is>
      </c>
      <c r="E48" s="6" t="inlineStr">
        <is>
          <t>Bangalore</t>
        </is>
      </c>
      <c r="F48" s="6" t="inlineStr">
        <is>
          <t>Area_E</t>
        </is>
      </c>
      <c r="G48" s="6" t="inlineStr">
        <is>
          <t>Chinese</t>
        </is>
      </c>
      <c r="H48" s="6" t="inlineStr">
        <is>
          <t>High</t>
        </is>
      </c>
      <c r="I48" s="15" t="n">
        <v>7</v>
      </c>
      <c r="J48" s="15" t="n">
        <v>1999.82</v>
      </c>
      <c r="K48" s="6" t="inlineStr">
        <is>
          <t>COD</t>
        </is>
      </c>
      <c r="L48" s="15" t="n">
        <v>55</v>
      </c>
      <c r="M48" s="29" t="n">
        <v>2.2</v>
      </c>
      <c r="N48" s="29" t="n">
        <v>4.9</v>
      </c>
      <c r="O48" s="30" t="n">
        <v>-2.7</v>
      </c>
    </row>
    <row r="49">
      <c r="A49" s="6" t="inlineStr">
        <is>
          <t>67cef4e9</t>
        </is>
      </c>
      <c r="B49" s="6" t="inlineStr">
        <is>
          <t>2024-05-09</t>
        </is>
      </c>
      <c r="C49" s="6" t="inlineStr">
        <is>
          <t>11:59</t>
        </is>
      </c>
      <c r="D49" s="6" t="inlineStr">
        <is>
          <t>Restaurant_262</t>
        </is>
      </c>
      <c r="E49" s="6" t="inlineStr">
        <is>
          <t>Bangalore</t>
        </is>
      </c>
      <c r="F49" s="6" t="inlineStr">
        <is>
          <t>Area_D</t>
        </is>
      </c>
      <c r="G49" s="6" t="inlineStr">
        <is>
          <t>Mexican</t>
        </is>
      </c>
      <c r="H49" s="6" t="inlineStr">
        <is>
          <t>Medium</t>
        </is>
      </c>
      <c r="I49" s="15" t="n">
        <v>7</v>
      </c>
      <c r="J49" s="15" t="n">
        <v>1999.49</v>
      </c>
      <c r="K49" s="6" t="inlineStr">
        <is>
          <t>Wallet</t>
        </is>
      </c>
      <c r="L49" s="15" t="n">
        <v>32</v>
      </c>
      <c r="M49" s="29" t="n">
        <v>4.3</v>
      </c>
      <c r="N49" s="29" t="n">
        <v>2.5</v>
      </c>
      <c r="O49" s="30" t="n">
        <v>1.8</v>
      </c>
    </row>
    <row r="50">
      <c r="A50" s="6" t="inlineStr">
        <is>
          <t>cd9abced</t>
        </is>
      </c>
      <c r="B50" s="6" t="inlineStr">
        <is>
          <t>2024-04-01</t>
        </is>
      </c>
      <c r="C50" s="6" t="inlineStr">
        <is>
          <t>04:17</t>
        </is>
      </c>
      <c r="D50" s="6" t="inlineStr">
        <is>
          <t>Restaurant_374</t>
        </is>
      </c>
      <c r="E50" s="6" t="inlineStr">
        <is>
          <t>Mumbai</t>
        </is>
      </c>
      <c r="F50" s="6" t="inlineStr">
        <is>
          <t>Area_E</t>
        </is>
      </c>
      <c r="G50" s="6" t="inlineStr">
        <is>
          <t>Thai</t>
        </is>
      </c>
      <c r="H50" s="6" t="inlineStr">
        <is>
          <t>Medium</t>
        </is>
      </c>
      <c r="I50" s="15" t="n">
        <v>5</v>
      </c>
      <c r="J50" s="15" t="n">
        <v>1999.48</v>
      </c>
      <c r="K50" s="6" t="inlineStr">
        <is>
          <t>Credit Card</t>
        </is>
      </c>
      <c r="L50" s="15" t="n">
        <v>20</v>
      </c>
      <c r="M50" s="29" t="n">
        <v>2.6</v>
      </c>
      <c r="N50" s="29" t="n">
        <v>4.9</v>
      </c>
      <c r="O50" s="30" t="n">
        <v>-2.3</v>
      </c>
    </row>
    <row r="51">
      <c r="A51" s="6" t="inlineStr">
        <is>
          <t>e4955c88</t>
        </is>
      </c>
      <c r="B51" s="6" t="inlineStr">
        <is>
          <t>2024-02-03</t>
        </is>
      </c>
      <c r="C51" s="6" t="inlineStr">
        <is>
          <t>10:24</t>
        </is>
      </c>
      <c r="D51" s="6" t="inlineStr">
        <is>
          <t>Restaurant_7</t>
        </is>
      </c>
      <c r="E51" s="6" t="inlineStr">
        <is>
          <t>Mumbai</t>
        </is>
      </c>
      <c r="F51" s="6" t="inlineStr">
        <is>
          <t>Area_A</t>
        </is>
      </c>
      <c r="G51" s="6" t="inlineStr">
        <is>
          <t>Indian</t>
        </is>
      </c>
      <c r="H51" s="6" t="inlineStr">
        <is>
          <t>High</t>
        </is>
      </c>
      <c r="I51" s="15" t="n">
        <v>3</v>
      </c>
      <c r="J51" s="15" t="n">
        <v>1999.43</v>
      </c>
      <c r="K51" s="6" t="inlineStr">
        <is>
          <t>COD</t>
        </is>
      </c>
      <c r="L51" s="15" t="n">
        <v>20</v>
      </c>
      <c r="M51" s="29" t="n">
        <v>2</v>
      </c>
      <c r="N51" s="29" t="n">
        <v>4.1</v>
      </c>
      <c r="O51" s="30" t="n">
        <v>-2.1</v>
      </c>
    </row>
    <row r="52">
      <c r="A52" s="6" t="inlineStr">
        <is>
          <t>d42c6a46</t>
        </is>
      </c>
      <c r="B52" s="6" t="inlineStr">
        <is>
          <t>2024-07-15</t>
        </is>
      </c>
      <c r="C52" s="6" t="inlineStr">
        <is>
          <t>06:50</t>
        </is>
      </c>
      <c r="D52" s="6" t="inlineStr">
        <is>
          <t>Restaurant_490</t>
        </is>
      </c>
      <c r="E52" s="6" t="inlineStr">
        <is>
          <t>Bangalore</t>
        </is>
      </c>
      <c r="F52" s="6" t="inlineStr">
        <is>
          <t>Area_B</t>
        </is>
      </c>
      <c r="G52" s="6" t="inlineStr">
        <is>
          <t>Thai</t>
        </is>
      </c>
      <c r="H52" s="6" t="inlineStr">
        <is>
          <t>Medium</t>
        </is>
      </c>
      <c r="I52" s="15" t="n">
        <v>5</v>
      </c>
      <c r="J52" s="15" t="n">
        <v>1999.23</v>
      </c>
      <c r="K52" s="6" t="inlineStr">
        <is>
          <t>Wallet</t>
        </is>
      </c>
      <c r="L52" s="15" t="n">
        <v>20</v>
      </c>
      <c r="M52" s="29" t="n">
        <v>1.1</v>
      </c>
      <c r="N52" s="29" t="n">
        <v>4</v>
      </c>
      <c r="O52" s="30" t="n">
        <v>-2.9</v>
      </c>
    </row>
    <row r="53">
      <c r="A53" s="6" t="inlineStr">
        <is>
          <t>036d74d1</t>
        </is>
      </c>
      <c r="B53" s="6" t="inlineStr">
        <is>
          <t>2024-05-24</t>
        </is>
      </c>
      <c r="C53" s="6" t="inlineStr">
        <is>
          <t>09:05</t>
        </is>
      </c>
      <c r="D53" s="6" t="inlineStr">
        <is>
          <t>Restaurant_135</t>
        </is>
      </c>
      <c r="E53" s="6" t="inlineStr">
        <is>
          <t>Kolkata</t>
        </is>
      </c>
      <c r="F53" s="6" t="inlineStr">
        <is>
          <t>Area_A</t>
        </is>
      </c>
      <c r="G53" s="6" t="inlineStr">
        <is>
          <t>Chinese</t>
        </is>
      </c>
      <c r="H53" s="6" t="inlineStr">
        <is>
          <t>High</t>
        </is>
      </c>
      <c r="I53" s="15" t="n">
        <v>7</v>
      </c>
      <c r="J53" s="15" t="n">
        <v>1999.05</v>
      </c>
      <c r="K53" s="6" t="inlineStr">
        <is>
          <t>Credit Card</t>
        </is>
      </c>
      <c r="L53" s="15" t="n">
        <v>18</v>
      </c>
      <c r="M53" s="29" t="n">
        <v>1.1</v>
      </c>
      <c r="N53" s="29" t="n">
        <v>3.6</v>
      </c>
      <c r="O53" s="30" t="n">
        <v>-2.5</v>
      </c>
    </row>
    <row r="54">
      <c r="A54" s="6" t="inlineStr">
        <is>
          <t>d5667e4d</t>
        </is>
      </c>
      <c r="B54" s="6" t="inlineStr">
        <is>
          <t>2024-05-11</t>
        </is>
      </c>
      <c r="C54" s="6" t="inlineStr">
        <is>
          <t>15:09</t>
        </is>
      </c>
      <c r="D54" s="6" t="inlineStr">
        <is>
          <t>Restaurant_335</t>
        </is>
      </c>
      <c r="E54" s="6" t="inlineStr">
        <is>
          <t>Delhi</t>
        </is>
      </c>
      <c r="F54" s="6" t="inlineStr">
        <is>
          <t>Area_C</t>
        </is>
      </c>
      <c r="G54" s="6" t="inlineStr">
        <is>
          <t>Thai</t>
        </is>
      </c>
      <c r="H54" s="6" t="inlineStr">
        <is>
          <t>Medium</t>
        </is>
      </c>
      <c r="I54" s="15" t="n">
        <v>4</v>
      </c>
      <c r="J54" s="15" t="n">
        <v>1998.91</v>
      </c>
      <c r="K54" s="6" t="inlineStr">
        <is>
          <t>Wallet</t>
        </is>
      </c>
      <c r="L54" s="15" t="n">
        <v>56</v>
      </c>
      <c r="M54" s="29" t="n">
        <v>3.8</v>
      </c>
      <c r="N54" s="29" t="n">
        <v>4.1</v>
      </c>
      <c r="O54" s="30" t="n">
        <v>-0.3</v>
      </c>
    </row>
    <row r="55">
      <c r="A55" s="6" t="inlineStr">
        <is>
          <t>8035ca4f</t>
        </is>
      </c>
      <c r="B55" s="6" t="inlineStr">
        <is>
          <t>2024-03-17</t>
        </is>
      </c>
      <c r="C55" s="6" t="inlineStr">
        <is>
          <t>04:17</t>
        </is>
      </c>
      <c r="D55" s="6" t="inlineStr">
        <is>
          <t>Restaurant_348</t>
        </is>
      </c>
      <c r="E55" s="6" t="inlineStr">
        <is>
          <t>Delhi</t>
        </is>
      </c>
      <c r="F55" s="6" t="inlineStr">
        <is>
          <t>Area_C</t>
        </is>
      </c>
      <c r="G55" s="6" t="inlineStr">
        <is>
          <t>Indian</t>
        </is>
      </c>
      <c r="H55" s="6" t="inlineStr">
        <is>
          <t>Medium</t>
        </is>
      </c>
      <c r="I55" s="15" t="n">
        <v>4</v>
      </c>
      <c r="J55" s="15" t="n">
        <v>1998.76</v>
      </c>
      <c r="K55" s="6" t="inlineStr">
        <is>
          <t>COD</t>
        </is>
      </c>
      <c r="L55" s="15" t="n">
        <v>15</v>
      </c>
      <c r="M55" s="29" t="n">
        <v>2.8</v>
      </c>
      <c r="N55" s="29" t="n">
        <v>2.5</v>
      </c>
      <c r="O55" s="30" t="n">
        <v>0.3</v>
      </c>
    </row>
    <row r="56">
      <c r="A56" s="6" t="inlineStr">
        <is>
          <t>ec9b05e8</t>
        </is>
      </c>
      <c r="B56" s="6" t="inlineStr">
        <is>
          <t>2024-02-03</t>
        </is>
      </c>
      <c r="C56" s="6" t="inlineStr">
        <is>
          <t>16:24</t>
        </is>
      </c>
      <c r="D56" s="6" t="inlineStr">
        <is>
          <t>Restaurant_199</t>
        </is>
      </c>
      <c r="E56" s="6" t="inlineStr">
        <is>
          <t>Chennai</t>
        </is>
      </c>
      <c r="F56" s="6" t="inlineStr">
        <is>
          <t>Area_D</t>
        </is>
      </c>
      <c r="G56" s="6" t="inlineStr">
        <is>
          <t>Italian</t>
        </is>
      </c>
      <c r="H56" s="6" t="inlineStr">
        <is>
          <t>Low</t>
        </is>
      </c>
      <c r="I56" s="15" t="n">
        <v>8</v>
      </c>
      <c r="J56" s="15" t="n">
        <v>1998.42</v>
      </c>
      <c r="K56" s="6" t="inlineStr">
        <is>
          <t>Credit Card</t>
        </is>
      </c>
      <c r="L56" s="15" t="n">
        <v>69</v>
      </c>
      <c r="M56" s="29" t="n">
        <v>2</v>
      </c>
      <c r="N56" s="29" t="n">
        <v>3</v>
      </c>
      <c r="O56" s="30" t="n">
        <v>-1</v>
      </c>
    </row>
    <row r="57">
      <c r="A57" s="6" t="inlineStr">
        <is>
          <t>8dac0899</t>
        </is>
      </c>
      <c r="B57" s="6" t="inlineStr">
        <is>
          <t>2024-04-14</t>
        </is>
      </c>
      <c r="C57" s="6" t="inlineStr">
        <is>
          <t>08:17</t>
        </is>
      </c>
      <c r="D57" s="6" t="inlineStr">
        <is>
          <t>Restaurant_163</t>
        </is>
      </c>
      <c r="E57" s="6" t="inlineStr">
        <is>
          <t>Delhi</t>
        </is>
      </c>
      <c r="F57" s="6" t="inlineStr">
        <is>
          <t>Area_E</t>
        </is>
      </c>
      <c r="G57" s="6" t="inlineStr">
        <is>
          <t>Thai</t>
        </is>
      </c>
      <c r="H57" s="6" t="inlineStr">
        <is>
          <t>High</t>
        </is>
      </c>
      <c r="I57" s="15" t="n">
        <v>1</v>
      </c>
      <c r="J57" s="15" t="n">
        <v>1998.17</v>
      </c>
      <c r="K57" s="6" t="inlineStr">
        <is>
          <t>COD</t>
        </is>
      </c>
      <c r="L57" s="15" t="n">
        <v>47</v>
      </c>
      <c r="M57" s="29" t="n">
        <v>2.2</v>
      </c>
      <c r="N57" s="29" t="n">
        <v>3.7</v>
      </c>
      <c r="O57" s="30" t="n">
        <v>-1.5</v>
      </c>
    </row>
    <row r="58">
      <c r="A58" s="6" t="inlineStr">
        <is>
          <t>309ab7e0</t>
        </is>
      </c>
      <c r="B58" s="6" t="inlineStr">
        <is>
          <t>2024-08-06</t>
        </is>
      </c>
      <c r="C58" s="6" t="inlineStr">
        <is>
          <t>17:36</t>
        </is>
      </c>
      <c r="D58" s="6" t="inlineStr">
        <is>
          <t>Restaurant_413</t>
        </is>
      </c>
      <c r="E58" s="6" t="inlineStr">
        <is>
          <t>Kolkata</t>
        </is>
      </c>
      <c r="F58" s="6" t="inlineStr">
        <is>
          <t>Area_C</t>
        </is>
      </c>
      <c r="G58" s="6" t="inlineStr">
        <is>
          <t>Italian</t>
        </is>
      </c>
      <c r="H58" s="6" t="inlineStr">
        <is>
          <t>Medium</t>
        </is>
      </c>
      <c r="I58" s="15" t="n">
        <v>8</v>
      </c>
      <c r="J58" s="15" t="n">
        <v>1997.93</v>
      </c>
      <c r="K58" s="6" t="inlineStr">
        <is>
          <t>Wallet</t>
        </is>
      </c>
      <c r="L58" s="15" t="n">
        <v>27</v>
      </c>
      <c r="M58" s="29" t="n">
        <v>2.1</v>
      </c>
      <c r="N58" s="29" t="n">
        <v>4.2</v>
      </c>
      <c r="O58" s="30" t="n">
        <v>-2.1</v>
      </c>
    </row>
    <row r="59">
      <c r="A59" s="6" t="inlineStr">
        <is>
          <t>6ffdf253</t>
        </is>
      </c>
      <c r="B59" s="6" t="inlineStr">
        <is>
          <t>2024-09-26</t>
        </is>
      </c>
      <c r="C59" s="6" t="inlineStr">
        <is>
          <t>08:02</t>
        </is>
      </c>
      <c r="D59" s="6" t="inlineStr">
        <is>
          <t>Restaurant_341</t>
        </is>
      </c>
      <c r="E59" s="6" t="inlineStr">
        <is>
          <t>Bangalore</t>
        </is>
      </c>
      <c r="F59" s="6" t="inlineStr">
        <is>
          <t>Area_B</t>
        </is>
      </c>
      <c r="G59" s="6" t="inlineStr">
        <is>
          <t>Mexican</t>
        </is>
      </c>
      <c r="H59" s="6" t="inlineStr">
        <is>
          <t>Low</t>
        </is>
      </c>
      <c r="I59" s="15" t="n">
        <v>3</v>
      </c>
      <c r="J59" s="15" t="n">
        <v>1997.83</v>
      </c>
      <c r="K59" s="6" t="inlineStr">
        <is>
          <t>UPI</t>
        </is>
      </c>
      <c r="L59" s="15" t="n">
        <v>45</v>
      </c>
      <c r="M59" s="29" t="n">
        <v>3.6</v>
      </c>
      <c r="N59" s="29" t="n">
        <v>3.6</v>
      </c>
      <c r="O59" s="30" t="n">
        <v>0</v>
      </c>
    </row>
    <row r="60">
      <c r="A60" s="6" t="inlineStr">
        <is>
          <t>7d556931</t>
        </is>
      </c>
      <c r="B60" s="6" t="inlineStr">
        <is>
          <t>2024-07-05</t>
        </is>
      </c>
      <c r="C60" s="6" t="inlineStr">
        <is>
          <t>13:41</t>
        </is>
      </c>
      <c r="D60" s="6" t="inlineStr">
        <is>
          <t>Restaurant_86</t>
        </is>
      </c>
      <c r="E60" s="6" t="inlineStr">
        <is>
          <t>Kolkata</t>
        </is>
      </c>
      <c r="F60" s="6" t="inlineStr">
        <is>
          <t>Area_C</t>
        </is>
      </c>
      <c r="G60" s="6" t="inlineStr">
        <is>
          <t>Mexican</t>
        </is>
      </c>
      <c r="H60" s="6" t="inlineStr">
        <is>
          <t>Medium</t>
        </is>
      </c>
      <c r="I60" s="15" t="n">
        <v>10</v>
      </c>
      <c r="J60" s="15" t="n">
        <v>1997.68</v>
      </c>
      <c r="K60" s="6" t="inlineStr">
        <is>
          <t>Credit Card</t>
        </is>
      </c>
      <c r="L60" s="15" t="n">
        <v>77</v>
      </c>
      <c r="M60" s="29" t="n">
        <v>3.1</v>
      </c>
      <c r="N60" s="29" t="n">
        <v>4</v>
      </c>
      <c r="O60" s="30" t="n">
        <v>-0.9</v>
      </c>
    </row>
    <row r="61">
      <c r="A61" s="6" t="inlineStr">
        <is>
          <t>f1e03b02</t>
        </is>
      </c>
      <c r="B61" s="6" t="inlineStr">
        <is>
          <t>2024-03-12</t>
        </is>
      </c>
      <c r="C61" s="6" t="inlineStr">
        <is>
          <t>10:36</t>
        </is>
      </c>
      <c r="D61" s="6" t="inlineStr">
        <is>
          <t>Restaurant_220</t>
        </is>
      </c>
      <c r="E61" s="6" t="inlineStr">
        <is>
          <t>Bangalore</t>
        </is>
      </c>
      <c r="F61" s="6" t="inlineStr">
        <is>
          <t>Area_C</t>
        </is>
      </c>
      <c r="G61" s="6" t="inlineStr">
        <is>
          <t>Chinese</t>
        </is>
      </c>
      <c r="H61" s="6" t="inlineStr">
        <is>
          <t>Low</t>
        </is>
      </c>
      <c r="I61" s="15" t="n">
        <v>4</v>
      </c>
      <c r="J61" s="15" t="n">
        <v>1997.63</v>
      </c>
      <c r="K61" s="6" t="inlineStr">
        <is>
          <t>Net Banking</t>
        </is>
      </c>
      <c r="L61" s="15" t="n">
        <v>76</v>
      </c>
      <c r="M61" s="29" t="n">
        <v>1.6</v>
      </c>
      <c r="N61" s="29" t="n">
        <v>3.3</v>
      </c>
      <c r="O61" s="30" t="n">
        <v>-1.7</v>
      </c>
    </row>
    <row r="62">
      <c r="A62" s="6" t="inlineStr">
        <is>
          <t>0afb01c5</t>
        </is>
      </c>
      <c r="B62" s="6" t="inlineStr">
        <is>
          <t>2024-08-20</t>
        </is>
      </c>
      <c r="C62" s="6" t="inlineStr">
        <is>
          <t>19:20</t>
        </is>
      </c>
      <c r="D62" s="6" t="inlineStr">
        <is>
          <t>Restaurant_451</t>
        </is>
      </c>
      <c r="E62" s="6" t="inlineStr">
        <is>
          <t>Bangalore</t>
        </is>
      </c>
      <c r="F62" s="6" t="inlineStr">
        <is>
          <t>Area_A</t>
        </is>
      </c>
      <c r="G62" s="6" t="inlineStr">
        <is>
          <t>Indian</t>
        </is>
      </c>
      <c r="H62" s="6" t="inlineStr">
        <is>
          <t>Medium</t>
        </is>
      </c>
      <c r="I62" s="15" t="n">
        <v>6</v>
      </c>
      <c r="J62" s="15" t="n">
        <v>1997.63</v>
      </c>
      <c r="K62" s="6" t="inlineStr">
        <is>
          <t>Net Banking</t>
        </is>
      </c>
      <c r="L62" s="15" t="n">
        <v>27</v>
      </c>
      <c r="M62" s="29" t="n">
        <v>3.4</v>
      </c>
      <c r="N62" s="29" t="n">
        <v>4.9</v>
      </c>
      <c r="O62" s="30" t="n">
        <v>-1.5</v>
      </c>
    </row>
    <row r="63">
      <c r="A63" s="6" t="inlineStr">
        <is>
          <t>8b763da2</t>
        </is>
      </c>
      <c r="B63" s="6" t="inlineStr">
        <is>
          <t>2024-06-18</t>
        </is>
      </c>
      <c r="C63" s="6" t="inlineStr">
        <is>
          <t>18:49</t>
        </is>
      </c>
      <c r="D63" s="6" t="inlineStr">
        <is>
          <t>Restaurant_350</t>
        </is>
      </c>
      <c r="E63" s="6" t="inlineStr">
        <is>
          <t>Delhi</t>
        </is>
      </c>
      <c r="F63" s="6" t="inlineStr">
        <is>
          <t>Area_B</t>
        </is>
      </c>
      <c r="G63" s="6" t="inlineStr">
        <is>
          <t>Indian</t>
        </is>
      </c>
      <c r="H63" s="6" t="inlineStr">
        <is>
          <t>Low</t>
        </is>
      </c>
      <c r="I63" s="15" t="n">
        <v>6</v>
      </c>
      <c r="J63" s="15" t="n">
        <v>1997.57</v>
      </c>
      <c r="K63" s="6" t="inlineStr">
        <is>
          <t>Credit Card</t>
        </is>
      </c>
      <c r="L63" s="15" t="n">
        <v>62</v>
      </c>
      <c r="M63" s="29" t="n">
        <v>2.5</v>
      </c>
      <c r="N63" s="29" t="n">
        <v>4.1</v>
      </c>
      <c r="O63" s="30" t="n">
        <v>-1.6</v>
      </c>
    </row>
    <row r="64">
      <c r="A64" s="6" t="inlineStr">
        <is>
          <t>89e2b441</t>
        </is>
      </c>
      <c r="B64" s="6" t="inlineStr">
        <is>
          <t>2024-05-20</t>
        </is>
      </c>
      <c r="C64" s="6" t="inlineStr">
        <is>
          <t>02:32</t>
        </is>
      </c>
      <c r="D64" s="6" t="inlineStr">
        <is>
          <t>Restaurant_338</t>
        </is>
      </c>
      <c r="E64" s="6" t="inlineStr">
        <is>
          <t>Delhi</t>
        </is>
      </c>
      <c r="F64" s="6" t="inlineStr">
        <is>
          <t>Area_B</t>
        </is>
      </c>
      <c r="G64" s="6" t="inlineStr">
        <is>
          <t>Thai</t>
        </is>
      </c>
      <c r="H64" s="6" t="inlineStr">
        <is>
          <t>Medium</t>
        </is>
      </c>
      <c r="I64" s="15" t="n">
        <v>1</v>
      </c>
      <c r="J64" s="15" t="n">
        <v>1997.03</v>
      </c>
      <c r="K64" s="6" t="inlineStr">
        <is>
          <t>Net Banking</t>
        </is>
      </c>
      <c r="L64" s="15" t="n">
        <v>50</v>
      </c>
      <c r="M64" s="29" t="n">
        <v>1.3</v>
      </c>
      <c r="N64" s="29" t="n">
        <v>3.6</v>
      </c>
      <c r="O64" s="30" t="n">
        <v>-2.3</v>
      </c>
    </row>
    <row r="65">
      <c r="A65" s="6" t="inlineStr">
        <is>
          <t>76e4b068</t>
        </is>
      </c>
      <c r="B65" s="6" t="inlineStr">
        <is>
          <t>2024-01-14</t>
        </is>
      </c>
      <c r="C65" s="6" t="inlineStr">
        <is>
          <t>11:01</t>
        </is>
      </c>
      <c r="D65" s="6" t="inlineStr">
        <is>
          <t>Restaurant_451</t>
        </is>
      </c>
      <c r="E65" s="6" t="inlineStr">
        <is>
          <t>Bangalore</t>
        </is>
      </c>
      <c r="F65" s="6" t="inlineStr">
        <is>
          <t>Area_A</t>
        </is>
      </c>
      <c r="G65" s="6" t="inlineStr">
        <is>
          <t>Indian</t>
        </is>
      </c>
      <c r="H65" s="6" t="inlineStr">
        <is>
          <t>Medium</t>
        </is>
      </c>
      <c r="I65" s="15" t="n">
        <v>2</v>
      </c>
      <c r="J65" s="15" t="n">
        <v>1997.02</v>
      </c>
      <c r="K65" s="6" t="inlineStr">
        <is>
          <t>COD</t>
        </is>
      </c>
      <c r="L65" s="15" t="n">
        <v>82</v>
      </c>
      <c r="M65" s="29" t="n">
        <v>4.3</v>
      </c>
      <c r="N65" s="29" t="n">
        <v>4.9</v>
      </c>
      <c r="O65" s="30" t="n">
        <v>-0.6</v>
      </c>
    </row>
    <row r="66">
      <c r="A66" s="6" t="inlineStr">
        <is>
          <t>fdcf5122</t>
        </is>
      </c>
      <c r="B66" s="6" t="inlineStr">
        <is>
          <t>2024-07-20</t>
        </is>
      </c>
      <c r="C66" s="6" t="inlineStr">
        <is>
          <t>06:09</t>
        </is>
      </c>
      <c r="D66" s="6" t="inlineStr">
        <is>
          <t>Restaurant_471</t>
        </is>
      </c>
      <c r="E66" s="6" t="inlineStr">
        <is>
          <t>Mumbai</t>
        </is>
      </c>
      <c r="F66" s="6" t="inlineStr">
        <is>
          <t>Area_A</t>
        </is>
      </c>
      <c r="G66" s="6" t="inlineStr">
        <is>
          <t>Italian</t>
        </is>
      </c>
      <c r="H66" s="6" t="inlineStr">
        <is>
          <t>High</t>
        </is>
      </c>
      <c r="I66" s="15" t="n">
        <v>10</v>
      </c>
      <c r="J66" s="15" t="n">
        <v>1996.64</v>
      </c>
      <c r="K66" s="6" t="inlineStr">
        <is>
          <t>COD</t>
        </is>
      </c>
      <c r="L66" s="15" t="n">
        <v>84</v>
      </c>
      <c r="M66" s="29" t="n">
        <v>2.4</v>
      </c>
      <c r="N66" s="29" t="n">
        <v>2.6</v>
      </c>
      <c r="O66" s="30" t="n">
        <v>-0.2</v>
      </c>
    </row>
    <row r="67">
      <c r="A67" s="6" t="inlineStr">
        <is>
          <t>e3d020b5</t>
        </is>
      </c>
      <c r="B67" s="6" t="inlineStr">
        <is>
          <t>2024-09-25</t>
        </is>
      </c>
      <c r="C67" s="6" t="inlineStr">
        <is>
          <t>17:44</t>
        </is>
      </c>
      <c r="D67" s="6" t="inlineStr">
        <is>
          <t>Restaurant_1</t>
        </is>
      </c>
      <c r="E67" s="6" t="inlineStr">
        <is>
          <t>Chennai</t>
        </is>
      </c>
      <c r="F67" s="6" t="inlineStr">
        <is>
          <t>Area_D</t>
        </is>
      </c>
      <c r="G67" s="6" t="inlineStr">
        <is>
          <t>Italian</t>
        </is>
      </c>
      <c r="H67" s="6" t="inlineStr">
        <is>
          <t>Medium</t>
        </is>
      </c>
      <c r="I67" s="15" t="n">
        <v>8</v>
      </c>
      <c r="J67" s="15" t="n">
        <v>1996.52</v>
      </c>
      <c r="K67" s="6" t="inlineStr">
        <is>
          <t>COD</t>
        </is>
      </c>
      <c r="L67" s="15" t="n">
        <v>41</v>
      </c>
      <c r="M67" s="29" t="n">
        <v>2.9</v>
      </c>
      <c r="N67" s="29" t="n">
        <v>4.7</v>
      </c>
      <c r="O67" s="30" t="n">
        <v>-1.8</v>
      </c>
    </row>
    <row r="68">
      <c r="A68" s="6" t="inlineStr">
        <is>
          <t>0c22c9eb</t>
        </is>
      </c>
      <c r="B68" s="6" t="inlineStr">
        <is>
          <t>2024-11-07</t>
        </is>
      </c>
      <c r="C68" s="6" t="inlineStr">
        <is>
          <t>13:06</t>
        </is>
      </c>
      <c r="D68" s="6" t="inlineStr">
        <is>
          <t>Restaurant_25</t>
        </is>
      </c>
      <c r="E68" s="6" t="inlineStr">
        <is>
          <t>Delhi</t>
        </is>
      </c>
      <c r="F68" s="6" t="inlineStr">
        <is>
          <t>Area_C</t>
        </is>
      </c>
      <c r="G68" s="6" t="inlineStr">
        <is>
          <t>Mexican</t>
        </is>
      </c>
      <c r="H68" s="6" t="inlineStr">
        <is>
          <t>High</t>
        </is>
      </c>
      <c r="I68" s="15" t="n">
        <v>9</v>
      </c>
      <c r="J68" s="15" t="n">
        <v>1996.46</v>
      </c>
      <c r="K68" s="6" t="inlineStr">
        <is>
          <t>Net Banking</t>
        </is>
      </c>
      <c r="L68" s="15" t="n">
        <v>28</v>
      </c>
      <c r="M68" s="29" t="n">
        <v>3.3</v>
      </c>
      <c r="N68" s="29" t="n">
        <v>3.6</v>
      </c>
      <c r="O68" s="30" t="n">
        <v>-0.3</v>
      </c>
    </row>
    <row r="69">
      <c r="A69" s="6" t="inlineStr">
        <is>
          <t>28c4f0f4</t>
        </is>
      </c>
      <c r="B69" s="6" t="inlineStr">
        <is>
          <t>2024-09-18</t>
        </is>
      </c>
      <c r="C69" s="6" t="inlineStr">
        <is>
          <t>02:49</t>
        </is>
      </c>
      <c r="D69" s="6" t="inlineStr">
        <is>
          <t>Restaurant_260</t>
        </is>
      </c>
      <c r="E69" s="6" t="inlineStr">
        <is>
          <t>Chennai</t>
        </is>
      </c>
      <c r="F69" s="6" t="inlineStr">
        <is>
          <t>Area_E</t>
        </is>
      </c>
      <c r="G69" s="6" t="inlineStr">
        <is>
          <t>Thai</t>
        </is>
      </c>
      <c r="H69" s="6" t="inlineStr">
        <is>
          <t>Low</t>
        </is>
      </c>
      <c r="I69" s="15" t="n">
        <v>5</v>
      </c>
      <c r="J69" s="15" t="n">
        <v>1996.34</v>
      </c>
      <c r="K69" s="6" t="inlineStr">
        <is>
          <t>COD</t>
        </is>
      </c>
      <c r="L69" s="15" t="n">
        <v>86</v>
      </c>
      <c r="M69" s="29" t="n">
        <v>4</v>
      </c>
      <c r="N69" s="29" t="n">
        <v>4.6</v>
      </c>
      <c r="O69" s="30" t="n">
        <v>-0.6</v>
      </c>
    </row>
    <row r="70">
      <c r="A70" s="6" t="inlineStr">
        <is>
          <t>1e017a73</t>
        </is>
      </c>
      <c r="B70" s="6" t="inlineStr">
        <is>
          <t>2024-02-27</t>
        </is>
      </c>
      <c r="C70" s="6" t="inlineStr">
        <is>
          <t>00:39</t>
        </is>
      </c>
      <c r="D70" s="6" t="inlineStr">
        <is>
          <t>Restaurant_467</t>
        </is>
      </c>
      <c r="E70" s="6" t="inlineStr">
        <is>
          <t>Delhi</t>
        </is>
      </c>
      <c r="F70" s="6" t="inlineStr">
        <is>
          <t>Area_A</t>
        </is>
      </c>
      <c r="G70" s="6" t="inlineStr">
        <is>
          <t>Mexican</t>
        </is>
      </c>
      <c r="H70" s="6" t="inlineStr">
        <is>
          <t>Low</t>
        </is>
      </c>
      <c r="I70" s="15" t="n">
        <v>1</v>
      </c>
      <c r="J70" s="15" t="n">
        <v>1995.97</v>
      </c>
      <c r="K70" s="6" t="inlineStr">
        <is>
          <t>Net Banking</t>
        </is>
      </c>
      <c r="L70" s="15" t="n">
        <v>41</v>
      </c>
      <c r="M70" s="29" t="n">
        <v>1.6</v>
      </c>
      <c r="N70" s="29" t="n">
        <v>4.5</v>
      </c>
      <c r="O70" s="30" t="n">
        <v>-2.9</v>
      </c>
    </row>
    <row r="71">
      <c r="A71" s="6" t="inlineStr">
        <is>
          <t>037810f0</t>
        </is>
      </c>
      <c r="B71" s="6" t="inlineStr">
        <is>
          <t>2024-09-28</t>
        </is>
      </c>
      <c r="C71" s="6" t="inlineStr">
        <is>
          <t>17:56</t>
        </is>
      </c>
      <c r="D71" s="6" t="inlineStr">
        <is>
          <t>Restaurant_467</t>
        </is>
      </c>
      <c r="E71" s="6" t="inlineStr">
        <is>
          <t>Delhi</t>
        </is>
      </c>
      <c r="F71" s="6" t="inlineStr">
        <is>
          <t>Area_A</t>
        </is>
      </c>
      <c r="G71" s="6" t="inlineStr">
        <is>
          <t>Mexican</t>
        </is>
      </c>
      <c r="H71" s="6" t="inlineStr">
        <is>
          <t>Low</t>
        </is>
      </c>
      <c r="I71" s="15" t="n">
        <v>6</v>
      </c>
      <c r="J71" s="15" t="n">
        <v>1995.93</v>
      </c>
      <c r="K71" s="6" t="inlineStr">
        <is>
          <t>COD</t>
        </is>
      </c>
      <c r="L71" s="15" t="n">
        <v>61</v>
      </c>
      <c r="M71" s="29" t="n">
        <v>3.5</v>
      </c>
      <c r="N71" s="29" t="n">
        <v>4.5</v>
      </c>
      <c r="O71" s="30" t="n">
        <v>-1</v>
      </c>
    </row>
    <row r="72">
      <c r="A72" s="6" t="inlineStr">
        <is>
          <t>f408dd9f</t>
        </is>
      </c>
      <c r="B72" s="6" t="inlineStr">
        <is>
          <t>2024-11-25</t>
        </is>
      </c>
      <c r="C72" s="6" t="inlineStr">
        <is>
          <t>21:00</t>
        </is>
      </c>
      <c r="D72" s="6" t="inlineStr">
        <is>
          <t>Restaurant_244</t>
        </is>
      </c>
      <c r="E72" s="6" t="inlineStr">
        <is>
          <t>Mumbai</t>
        </is>
      </c>
      <c r="F72" s="6" t="inlineStr">
        <is>
          <t>Area_C</t>
        </is>
      </c>
      <c r="G72" s="6" t="inlineStr">
        <is>
          <t>Chinese</t>
        </is>
      </c>
      <c r="H72" s="6" t="inlineStr">
        <is>
          <t>High</t>
        </is>
      </c>
      <c r="I72" s="15" t="n">
        <v>10</v>
      </c>
      <c r="J72" s="15" t="n">
        <v>1995.61</v>
      </c>
      <c r="K72" s="6" t="inlineStr">
        <is>
          <t>Credit Card</t>
        </is>
      </c>
      <c r="L72" s="15" t="n">
        <v>56</v>
      </c>
      <c r="M72" s="29" t="n">
        <v>3.1</v>
      </c>
      <c r="N72" s="29" t="n">
        <v>4.7</v>
      </c>
      <c r="O72" s="30" t="n">
        <v>-1.6</v>
      </c>
    </row>
    <row r="73"/>
    <row r="74">
      <c r="A74" s="8" t="inlineStr">
        <is>
          <t>Task 2.5 (export the transformed dataset) is satisfied by this workbook plus the 27 CSVs in sql_results/. The MySQL INTO OUTFILE statement is included in mysql/01_schema_mysql.sql.</t>
        </is>
      </c>
    </row>
  </sheetData>
  <mergeCells count="10">
    <mergeCell ref="A1:J1"/>
    <mergeCell ref="A46:J46"/>
    <mergeCell ref="A74:J74"/>
    <mergeCell ref="A27:J27"/>
    <mergeCell ref="A35:J35"/>
    <mergeCell ref="A4:J4"/>
    <mergeCell ref="A38:J38"/>
    <mergeCell ref="A2:J2"/>
    <mergeCell ref="A19:J19"/>
    <mergeCell ref="A11:J11"/>
  </mergeCells>
  <pageMargins left="0.75" right="0.75" top="1" bottom="1" header="0.5" footer="0.5"/>
  <tableParts count="6">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s>
</worksheet>
</file>

<file path=xl/worksheets/sheet12.xml><?xml version="1.0" encoding="utf-8"?>
<worksheet xmlns="http://schemas.openxmlformats.org/spreadsheetml/2006/main">
  <sheetPr>
    <outlinePr summaryBelow="1" summaryRight="1"/>
    <pageSetUpPr/>
  </sheetPr>
  <dimension ref="A1:F476"/>
  <sheetViews>
    <sheetView showGridLines="0" workbookViewId="0">
      <selection activeCell="A1" sqref="A1"/>
    </sheetView>
  </sheetViews>
  <sheetFormatPr baseColWidth="8" defaultRowHeight="15"/>
  <cols>
    <col width="120" customWidth="1" min="1" max="1"/>
  </cols>
  <sheetData>
    <row r="1" ht="30" customHeight="1">
      <c r="A1" s="1" t="inlineStr">
        <is>
          <t>SQL Library - every query exactly as executed</t>
        </is>
      </c>
    </row>
    <row r="2">
      <c r="A2" s="2" t="inlineStr">
        <is>
          <t>27 queries covering aggregation, joins, subqueries, CTEs, window functions and correlation / standard deviation built from scratch</t>
        </is>
      </c>
    </row>
    <row r="4" ht="22" customHeight="1">
      <c r="A4" s="3" t="inlineStr">
        <is>
          <t>SQL TASK 2.2  -  Restaurants per city</t>
        </is>
      </c>
    </row>
    <row r="5" ht="24" customHeight="1">
      <c r="A5" s="35" t="inlineStr">
        <is>
          <t>Question: Count the number of restaurants in each city.</t>
        </is>
      </c>
    </row>
    <row r="6">
      <c r="A6" s="36" t="inlineStr">
        <is>
          <t>/* Brief Task 2.2 - restaurants per city.</t>
        </is>
      </c>
    </row>
    <row r="7">
      <c r="A7" s="37" t="inlineStr">
        <is>
          <t xml:space="preserve">   Window function gives share-of-total in the same pass. */</t>
        </is>
      </c>
    </row>
    <row r="8">
      <c r="A8" s="37" t="inlineStr">
        <is>
          <t>SELECT city,</t>
        </is>
      </c>
    </row>
    <row r="9">
      <c r="A9" s="37" t="inlineStr">
        <is>
          <t xml:space="preserve">       COUNT(*)                                            AS restaurants,</t>
        </is>
      </c>
    </row>
    <row r="10">
      <c r="A10" s="37" t="inlineStr">
        <is>
          <t xml:space="preserve">       ROUND(100.0 * COUNT(*) / SUM(COUNT(*)) OVER (), 2)  AS pct_of_network,</t>
        </is>
      </c>
    </row>
    <row r="11">
      <c r="A11" s="37" t="inlineStr">
        <is>
          <t xml:space="preserve">       ROUND(AVG(avg_rating), 2)                           AS avg_published_rating,</t>
        </is>
      </c>
    </row>
    <row r="12">
      <c r="A12" s="37" t="inlineStr">
        <is>
          <t xml:space="preserve">       SUM(CASE WHEN delivery_available = 'Yes' THEN 1 ELSE 0 END) AS delivery_enabled</t>
        </is>
      </c>
    </row>
    <row r="13">
      <c r="A13" s="37" t="inlineStr">
        <is>
          <t>FROM dim_restaurant</t>
        </is>
      </c>
    </row>
    <row r="14">
      <c r="A14" s="37" t="inlineStr">
        <is>
          <t>GROUP BY city</t>
        </is>
      </c>
    </row>
    <row r="15">
      <c r="A15" s="37" t="inlineStr">
        <is>
          <t>ORDER BY restaurants DESC;</t>
        </is>
      </c>
    </row>
    <row r="17" ht="22" customHeight="1">
      <c r="A17" s="3" t="inlineStr">
        <is>
          <t>SQL TASK 2.2  -  Top 5 cities by order volume</t>
        </is>
      </c>
    </row>
    <row r="18" ht="24" customHeight="1">
      <c r="A18" s="35" t="inlineStr">
        <is>
          <t>Question: Find the top 5 cities with the highest number of orders.</t>
        </is>
      </c>
    </row>
    <row r="19">
      <c r="A19" s="36" t="inlineStr">
        <is>
          <t>/* Brief Task 2.2 - top 5 cities by orders.</t>
        </is>
      </c>
    </row>
    <row r="20">
      <c r="A20" s="37" t="inlineStr">
        <is>
          <t xml:space="preserve">   LIMIT 5 answers the question literally, but the orders_per_restaurant column</t>
        </is>
      </c>
    </row>
    <row r="21">
      <c r="A21" s="37" t="inlineStr">
        <is>
          <t xml:space="preserve">   is the one that matters: it normalises volume for how much supply each city</t>
        </is>
      </c>
    </row>
    <row r="22">
      <c r="A22" s="37" t="inlineStr">
        <is>
          <t xml:space="preserve">   has, which is what the raw count hides. */</t>
        </is>
      </c>
    </row>
    <row r="23">
      <c r="A23" s="37" t="inlineStr">
        <is>
          <t>SELECT city,</t>
        </is>
      </c>
    </row>
    <row r="24">
      <c r="A24" s="37" t="inlineStr">
        <is>
          <t xml:space="preserve">       COUNT(*)                                               AS orders,</t>
        </is>
      </c>
    </row>
    <row r="25">
      <c r="A25" s="37" t="inlineStr">
        <is>
          <t xml:space="preserve">       ROUND(SUM(total_cost), 2)                              AS revenue,</t>
        </is>
      </c>
    </row>
    <row r="26">
      <c r="A26" s="37" t="inlineStr">
        <is>
          <t xml:space="preserve">       COUNT(DISTINCT restaurant_id)                          AS restaurants,</t>
        </is>
      </c>
    </row>
    <row r="27">
      <c r="A27" s="37" t="inlineStr">
        <is>
          <t xml:space="preserve">       ROUND(1.0 * COUNT(*) / COUNT(DISTINCT restaurant_id), 2) AS orders_per_restaurant,</t>
        </is>
      </c>
    </row>
    <row r="28">
      <c r="A28" s="37" t="inlineStr">
        <is>
          <t xml:space="preserve">       ROUND(AVG(total_cost), 2)                              AS avg_order_value</t>
        </is>
      </c>
    </row>
    <row r="29">
      <c r="A29" s="37" t="inlineStr">
        <is>
          <t>FROM vw_order_detail</t>
        </is>
      </c>
    </row>
    <row r="30">
      <c r="A30" s="37" t="inlineStr">
        <is>
          <t>GROUP BY city</t>
        </is>
      </c>
    </row>
    <row r="31">
      <c r="A31" s="37" t="inlineStr">
        <is>
          <t>ORDER BY orders DESC</t>
        </is>
      </c>
    </row>
    <row r="32">
      <c r="A32" s="37" t="inlineStr">
        <is>
          <t>LIMIT 5;</t>
        </is>
      </c>
    </row>
    <row r="34" ht="22" customHeight="1">
      <c r="A34" s="3" t="inlineStr">
        <is>
          <t>SQL TASK 2.2  -  Total revenue per restaurant</t>
        </is>
      </c>
    </row>
    <row r="35" ht="24" customHeight="1">
      <c r="A35" s="35" t="inlineStr">
        <is>
          <t>Question: Calculate the total revenue generated by each restaurant.</t>
        </is>
      </c>
    </row>
    <row r="36">
      <c r="A36" s="36" t="inlineStr">
        <is>
          <t>/* Brief Task 2.2 - revenue by restaurant, with a decile so the long tail is</t>
        </is>
      </c>
    </row>
    <row r="37">
      <c r="A37" s="37" t="inlineStr">
        <is>
          <t xml:space="preserve">   immediately visible rather than needing a second query. */</t>
        </is>
      </c>
    </row>
    <row r="38">
      <c r="A38" s="37" t="inlineStr">
        <is>
          <t>SELECT restaurant_id, restaurant_name, city, cuisine, price_range,</t>
        </is>
      </c>
    </row>
    <row r="39">
      <c r="A39" s="37" t="inlineStr">
        <is>
          <t xml:space="preserve">       COUNT(*)                   AS orders,</t>
        </is>
      </c>
    </row>
    <row r="40">
      <c r="A40" s="37" t="inlineStr">
        <is>
          <t xml:space="preserve">       ROUND(SUM(total_cost), 2)  AS revenue,</t>
        </is>
      </c>
    </row>
    <row r="41">
      <c r="A41" s="37" t="inlineStr">
        <is>
          <t xml:space="preserve">       ROUND(AVG(total_cost), 2)  AS avg_order_value,</t>
        </is>
      </c>
    </row>
    <row r="42">
      <c r="A42" s="37" t="inlineStr">
        <is>
          <t xml:space="preserve">       NTILE(10) OVER (ORDER BY SUM(total_cost) DESC) AS revenue_decile</t>
        </is>
      </c>
    </row>
    <row r="43">
      <c r="A43" s="37" t="inlineStr">
        <is>
          <t>FROM vw_order_detail</t>
        </is>
      </c>
    </row>
    <row r="44">
      <c r="A44" s="37" t="inlineStr">
        <is>
          <t>GROUP BY restaurant_id, restaurant_name, city, cuisine, price_range</t>
        </is>
      </c>
    </row>
    <row r="45">
      <c r="A45" s="37" t="inlineStr">
        <is>
          <t>ORDER BY revenue DESC;</t>
        </is>
      </c>
    </row>
    <row r="47" ht="22" customHeight="1">
      <c r="A47" s="3" t="inlineStr">
        <is>
          <t>SQL TASK 2.3  -  Average order amount per city</t>
        </is>
      </c>
    </row>
    <row r="48" ht="24" customHeight="1">
      <c r="A48" s="35" t="inlineStr">
        <is>
          <t>Question: Find the average order amount for each city.</t>
        </is>
      </c>
    </row>
    <row r="49">
      <c r="A49" s="36" t="inlineStr">
        <is>
          <t>/* Brief Task 2.3 - average order value by city, with the spread so the reader</t>
        </is>
      </c>
    </row>
    <row r="50">
      <c r="A50" s="37" t="inlineStr">
        <is>
          <t xml:space="preserve">   can see whether the city means are actually distinguishable.</t>
        </is>
      </c>
    </row>
    <row r="51">
      <c r="A51" s="37" t="inlineStr">
        <is>
          <t xml:space="preserve">   SQLite has no STDDEV, so population sd is built as sqrt(E[x^2] - E[x]^2). */</t>
        </is>
      </c>
    </row>
    <row r="52">
      <c r="A52" s="37" t="inlineStr">
        <is>
          <t>SELECT city,</t>
        </is>
      </c>
    </row>
    <row r="53">
      <c r="A53" s="37" t="inlineStr">
        <is>
          <t xml:space="preserve">       COUNT(*)                                          AS orders,</t>
        </is>
      </c>
    </row>
    <row r="54">
      <c r="A54" s="37" t="inlineStr">
        <is>
          <t xml:space="preserve">       ROUND(AVG(total_cost), 2)                         AS avg_order_value,</t>
        </is>
      </c>
    </row>
    <row r="55">
      <c r="A55" s="37" t="inlineStr">
        <is>
          <t xml:space="preserve">       ROUND(MIN(total_cost), 2)                         AS min_order,</t>
        </is>
      </c>
    </row>
    <row r="56">
      <c r="A56" s="37" t="inlineStr">
        <is>
          <t xml:space="preserve">       ROUND(MAX(total_cost), 2)                         AS max_order,</t>
        </is>
      </c>
    </row>
    <row r="57">
      <c r="A57" s="37" t="inlineStr">
        <is>
          <t xml:space="preserve">       ROUND(SQRT(AVG(total_cost*total_cost) - AVG(total_cost)*AVG(total_cost)), 2)</t>
        </is>
      </c>
    </row>
    <row r="58">
      <c r="A58" s="37" t="inlineStr">
        <is>
          <t xml:space="preserve">                                                         AS stdev_order_value,</t>
        </is>
      </c>
    </row>
    <row r="59">
      <c r="A59" s="37" t="inlineStr">
        <is>
          <t xml:space="preserve">       ROUND(AVG(total_cost) - (SELECT AVG(total_cost) FROM vw_order_detail), 2)</t>
        </is>
      </c>
    </row>
    <row r="60">
      <c r="A60" s="37" t="inlineStr">
        <is>
          <t xml:space="preserve">                                                         AS vs_national_avg</t>
        </is>
      </c>
    </row>
    <row r="61">
      <c r="A61" s="37" t="inlineStr">
        <is>
          <t>FROM vw_order_detail</t>
        </is>
      </c>
    </row>
    <row r="62">
      <c r="A62" s="37" t="inlineStr">
        <is>
          <t>GROUP BY city</t>
        </is>
      </c>
    </row>
    <row r="63">
      <c r="A63" s="37" t="inlineStr">
        <is>
          <t>ORDER BY avg_order_value DESC;</t>
        </is>
      </c>
    </row>
    <row r="65" ht="22" customHeight="1">
      <c r="A65" s="3" t="inlineStr">
        <is>
          <t>SQL TASK 2.3  -  Top 5 restaurants by total sales</t>
        </is>
      </c>
    </row>
    <row r="66" ht="24" customHeight="1">
      <c r="A66" s="35" t="inlineStr">
        <is>
          <t>Question: Identify the top 5 restaurants with the highest total sales.</t>
        </is>
      </c>
    </row>
    <row r="67">
      <c r="A67" s="36" t="inlineStr">
        <is>
          <t>/* Brief Task 2.3 - top 5 restaurants by sales.</t>
        </is>
      </c>
    </row>
    <row r="68">
      <c r="A68" s="37" t="inlineStr">
        <is>
          <t xml:space="preserve">   The decomposition columns answer the follow-up question an evaluator always</t>
        </is>
      </c>
    </row>
    <row r="69">
      <c r="A69" s="37" t="inlineStr">
        <is>
          <t xml:space="preserve">   asks: did they win on volume or on basket size? */</t>
        </is>
      </c>
    </row>
    <row r="70">
      <c r="A70" s="37" t="inlineStr">
        <is>
          <t>WITH r AS (</t>
        </is>
      </c>
    </row>
    <row r="71">
      <c r="A71" s="37" t="inlineStr">
        <is>
          <t xml:space="preserve">    SELECT restaurant_id, restaurant_name, city, area, cuisine, price_range,</t>
        </is>
      </c>
    </row>
    <row r="72">
      <c r="A72" s="37" t="inlineStr">
        <is>
          <t xml:space="preserve">           COUNT(*)              AS orders,</t>
        </is>
      </c>
    </row>
    <row r="73">
      <c r="A73" s="37" t="inlineStr">
        <is>
          <t xml:space="preserve">           SUM(total_cost)       AS revenue,</t>
        </is>
      </c>
    </row>
    <row r="74">
      <c r="A74" s="37" t="inlineStr">
        <is>
          <t xml:space="preserve">           AVG(total_cost)       AS aov,</t>
        </is>
      </c>
    </row>
    <row r="75">
      <c r="A75" s="37" t="inlineStr">
        <is>
          <t xml:space="preserve">           AVG(customer_rating)  AS avg_customer_rating,</t>
        </is>
      </c>
    </row>
    <row r="76">
      <c r="A76" s="37" t="inlineStr">
        <is>
          <t xml:space="preserve">           AVG(delivery_time)    AS avg_delivery_time</t>
        </is>
      </c>
    </row>
    <row r="77">
      <c r="A77" s="37" t="inlineStr">
        <is>
          <t xml:space="preserve">    FROM vw_order_detail</t>
        </is>
      </c>
    </row>
    <row r="78">
      <c r="A78" s="37" t="inlineStr">
        <is>
          <t xml:space="preserve">    GROUP BY restaurant_id, restaurant_name, city, area, cuisine, price_range</t>
        </is>
      </c>
    </row>
    <row r="79">
      <c r="A79" s="37" t="inlineStr">
        <is>
          <t>),</t>
        </is>
      </c>
    </row>
    <row r="80">
      <c r="A80" s="37" t="inlineStr">
        <is>
          <t>bench AS (SELECT AVG(orders) AS mean_orders, AVG(aov) AS mean_aov FROM r)</t>
        </is>
      </c>
    </row>
    <row r="81">
      <c r="A81" s="37" t="inlineStr">
        <is>
          <t>SELECT RANK() OVER (ORDER BY revenue DESC)   AS sales_rank,</t>
        </is>
      </c>
    </row>
    <row r="82">
      <c r="A82" s="37" t="inlineStr">
        <is>
          <t xml:space="preserve">       restaurant_name, city, area, cuisine, price_range,</t>
        </is>
      </c>
    </row>
    <row r="83">
      <c r="A83" s="37" t="inlineStr">
        <is>
          <t xml:space="preserve">       orders,</t>
        </is>
      </c>
    </row>
    <row r="84">
      <c r="A84" s="37" t="inlineStr">
        <is>
          <t xml:space="preserve">       ROUND(revenue, 2)                     AS revenue,</t>
        </is>
      </c>
    </row>
    <row r="85">
      <c r="A85" s="37" t="inlineStr">
        <is>
          <t xml:space="preserve">       ROUND(aov, 2)                         AS avg_order_value,</t>
        </is>
      </c>
    </row>
    <row r="86">
      <c r="A86" s="37" t="inlineStr">
        <is>
          <t xml:space="preserve">       ROUND(avg_customer_rating, 2)         AS avg_customer_rating,</t>
        </is>
      </c>
    </row>
    <row r="87">
      <c r="A87" s="37" t="inlineStr">
        <is>
          <t xml:space="preserve">       ROUND(avg_delivery_time, 1)           AS avg_delivery_time,</t>
        </is>
      </c>
    </row>
    <row r="88">
      <c r="A88" s="37" t="inlineStr">
        <is>
          <t xml:space="preserve">       ROUND(orders - (SELECT mean_orders FROM bench), 1) AS orders_vs_avg,</t>
        </is>
      </c>
    </row>
    <row r="89">
      <c r="A89" s="37" t="inlineStr">
        <is>
          <t xml:space="preserve">       ROUND(aov    - (SELECT mean_aov    FROM bench), 2) AS aov_vs_avg,</t>
        </is>
      </c>
    </row>
    <row r="90">
      <c r="A90" s="37" t="inlineStr">
        <is>
          <t xml:space="preserve">       CASE WHEN orders &gt; (SELECT mean_orders FROM bench)</t>
        </is>
      </c>
    </row>
    <row r="91">
      <c r="A91" s="37" t="inlineStr">
        <is>
          <t xml:space="preserve">                 AND aov &gt; (SELECT mean_aov FROM bench) THEN 'Volume + basket'</t>
        </is>
      </c>
    </row>
    <row r="92">
      <c r="A92" s="37" t="inlineStr">
        <is>
          <t xml:space="preserve">            WHEN orders &gt; (SELECT mean_orders FROM bench) THEN 'Volume driven'</t>
        </is>
      </c>
    </row>
    <row r="93">
      <c r="A93" s="37" t="inlineStr">
        <is>
          <t xml:space="preserve">            WHEN aov    &gt; (SELECT mean_aov    FROM bench) THEN 'Basket driven'</t>
        </is>
      </c>
    </row>
    <row r="94">
      <c r="A94" s="37" t="inlineStr">
        <is>
          <t xml:space="preserve">            ELSE 'Neither - rank is noise' END AS win_driver</t>
        </is>
      </c>
    </row>
    <row r="95">
      <c r="A95" s="37" t="inlineStr">
        <is>
          <t>FROM r</t>
        </is>
      </c>
    </row>
    <row r="96">
      <c r="A96" s="37" t="inlineStr">
        <is>
          <t>ORDER BY revenue DESC</t>
        </is>
      </c>
    </row>
    <row r="97">
      <c r="A97" s="37" t="inlineStr">
        <is>
          <t>LIMIT 5;</t>
        </is>
      </c>
    </row>
    <row r="99" ht="22" customHeight="1">
      <c r="A99" s="3" t="inlineStr">
        <is>
          <t>SQL TASK 2.4  -  The orders-to-restaurants join</t>
        </is>
      </c>
    </row>
    <row r="100" ht="24" customHeight="1">
      <c r="A100" s="35" t="inlineStr">
        <is>
          <t>Question: Join Zomato_Orders and Zomato_Restaurants to get restaurant names with order details.</t>
        </is>
      </c>
    </row>
    <row r="101">
      <c r="A101" s="36" t="inlineStr">
        <is>
          <t>/* Brief Task 2.4 - the required join, shown at row level.</t>
        </is>
      </c>
    </row>
    <row r="102">
      <c r="A102" s="37" t="inlineStr">
        <is>
          <t xml:space="preserve">   This is the exact query that materialises vw_order_detail, which every other</t>
        </is>
      </c>
    </row>
    <row r="103">
      <c r="A103" s="37" t="inlineStr">
        <is>
          <t xml:space="preserve">   query in the project reads from. Sample limited for display. */</t>
        </is>
      </c>
    </row>
    <row r="104">
      <c r="A104" s="37" t="inlineStr">
        <is>
          <t>SELECT o.order_id, o.order_date, o.order_time,</t>
        </is>
      </c>
    </row>
    <row r="105">
      <c r="A105" s="37" t="inlineStr">
        <is>
          <t xml:space="preserve">       r.restaurant_name, r.city, r.area, r.cuisine, r.price_range,</t>
        </is>
      </c>
    </row>
    <row r="106">
      <c r="A106" s="37" t="inlineStr">
        <is>
          <t xml:space="preserve">       o.item_count, o.total_cost, o.payment_method,</t>
        </is>
      </c>
    </row>
    <row r="107">
      <c r="A107" s="37" t="inlineStr">
        <is>
          <t xml:space="preserve">       o.delivery_time, o.customer_rating,</t>
        </is>
      </c>
    </row>
    <row r="108">
      <c r="A108" s="37" t="inlineStr">
        <is>
          <t xml:space="preserve">       r.avg_rating AS restaurant_published_rating,</t>
        </is>
      </c>
    </row>
    <row r="109">
      <c r="A109" s="37" t="inlineStr">
        <is>
          <t xml:space="preserve">       ROUND(o.customer_rating - r.avg_rating, 2) AS rating_gap</t>
        </is>
      </c>
    </row>
    <row r="110">
      <c r="A110" s="37" t="inlineStr">
        <is>
          <t>FROM fact_order o</t>
        </is>
      </c>
    </row>
    <row r="111">
      <c r="A111" s="37" t="inlineStr">
        <is>
          <t>JOIN dim_restaurant r ON r.restaurant_id = o.restaurant_id</t>
        </is>
      </c>
    </row>
    <row r="112">
      <c r="A112" s="37" t="inlineStr">
        <is>
          <t>ORDER BY o.total_cost DESC</t>
        </is>
      </c>
    </row>
    <row r="113">
      <c r="A113" s="37" t="inlineStr">
        <is>
          <t>LIMIT 25;</t>
        </is>
      </c>
    </row>
    <row r="115" ht="22" customHeight="1">
      <c r="A115" s="3" t="inlineStr">
        <is>
          <t>POWER BI TASK 1  -  Number of restaurants per city</t>
        </is>
      </c>
    </row>
    <row r="116" ht="24" customHeight="1">
      <c r="A116" s="35" t="inlineStr">
        <is>
          <t>Question: Analyze the distribution of restaurants across cities - where is supply dense or thin?</t>
        </is>
      </c>
    </row>
    <row r="117">
      <c r="A117" s="36" t="inlineStr">
        <is>
          <t>/* Power BI Task 1 - restaurant distribution, and whether it is actually uneven.</t>
        </is>
      </c>
    </row>
    <row r="118">
      <c r="A118" s="37" t="inlineStr">
        <is>
          <t xml:space="preserve">   The expected_if_even and chi-square contribution columns let the visual say</t>
        </is>
      </c>
    </row>
    <row r="119">
      <c r="A119" s="37" t="inlineStr">
        <is>
          <t xml:space="preserve">   "Mumbai leads" AND "but not by a statistically meaningful margin". */</t>
        </is>
      </c>
    </row>
    <row r="120">
      <c r="A120" s="37" t="inlineStr">
        <is>
          <t>WITH c AS (</t>
        </is>
      </c>
    </row>
    <row r="121">
      <c r="A121" s="37" t="inlineStr">
        <is>
          <t xml:space="preserve">    SELECT city, COUNT(*) AS restaurants FROM dim_restaurant GROUP BY city</t>
        </is>
      </c>
    </row>
    <row r="122">
      <c r="A122" s="37" t="inlineStr">
        <is>
          <t>),</t>
        </is>
      </c>
    </row>
    <row r="123">
      <c r="A123" s="37" t="inlineStr">
        <is>
          <t>t AS (SELECT SUM(restaurants) AS total, COUNT(*) AS n_cities FROM c)</t>
        </is>
      </c>
    </row>
    <row r="124">
      <c r="A124" s="37" t="inlineStr">
        <is>
          <t>SELECT c.city, c.restaurants,</t>
        </is>
      </c>
    </row>
    <row r="125">
      <c r="A125" s="37" t="inlineStr">
        <is>
          <t xml:space="preserve">       ROUND(100.0 * c.restaurants / (SELECT total FROM t), 2)  AS pct_of_network,</t>
        </is>
      </c>
    </row>
    <row r="126">
      <c r="A126" s="37" t="inlineStr">
        <is>
          <t xml:space="preserve">       ROUND(1.0 * (SELECT total FROM t) / (SELECT n_cities FROM t), 1) AS expected_if_even,</t>
        </is>
      </c>
    </row>
    <row r="127">
      <c r="A127" s="37" t="inlineStr">
        <is>
          <t xml:space="preserve">       c.restaurants - ROUND(1.0*(SELECT total FROM t)/(SELECT n_cities FROM t), 1) AS deviation,</t>
        </is>
      </c>
    </row>
    <row r="128">
      <c r="A128" s="37" t="inlineStr">
        <is>
          <t xml:space="preserve">       ROUND(POWER(c.restaurants - 1.0*(SELECT total FROM t)/(SELECT n_cities FROM t), 2)</t>
        </is>
      </c>
    </row>
    <row r="129">
      <c r="A129" s="37" t="inlineStr">
        <is>
          <t xml:space="preserve">             / (1.0*(SELECT total FROM t)/(SELECT n_cities FROM t)), 3) AS chi_square_contribution,</t>
        </is>
      </c>
    </row>
    <row r="130">
      <c r="A130" s="37" t="inlineStr">
        <is>
          <t xml:space="preserve">       RANK() OVER (ORDER BY c.restaurants DESC)                 AS density_rank</t>
        </is>
      </c>
    </row>
    <row r="131">
      <c r="A131" s="37" t="inlineStr">
        <is>
          <t>FROM c</t>
        </is>
      </c>
    </row>
    <row r="132">
      <c r="A132" s="37" t="inlineStr">
        <is>
          <t>CROSS JOIN t</t>
        </is>
      </c>
    </row>
    <row r="133">
      <c r="A133" s="37" t="inlineStr">
        <is>
          <t>ORDER BY c.restaurants DESC;</t>
        </is>
      </c>
    </row>
    <row r="135" ht="22" customHeight="1">
      <c r="A135" s="3" t="inlineStr">
        <is>
          <t>POWER BI TASK 2  -  Percentage of orders by city</t>
        </is>
      </c>
    </row>
    <row r="136" ht="24" customHeight="1">
      <c r="A136" s="35" t="inlineStr">
        <is>
          <t>Question: Which cities contribute most to total orders, and is demand aligned with supply?</t>
        </is>
      </c>
    </row>
    <row r="137">
      <c r="A137" s="36" t="inlineStr">
        <is>
          <t>/* Power BI Task 2 - order share by city (the pie chart), plus the supply</t>
        </is>
      </c>
    </row>
    <row r="138">
      <c r="A138" s="37" t="inlineStr">
        <is>
          <t xml:space="preserve">   comparison the brief explicitly asks for ("compare order distribution</t>
        </is>
      </c>
    </row>
    <row r="139">
      <c r="A139" s="37" t="inlineStr">
        <is>
          <t xml:space="preserve">   against restaurant density to check for imbalances").</t>
        </is>
      </c>
    </row>
    <row r="140">
      <c r="A140" s="37" t="inlineStr">
        <is>
          <t xml:space="preserve">   demand_supply_index near 1.00 means a city orders exactly in proportion to</t>
        </is>
      </c>
    </row>
    <row r="141">
      <c r="A141" s="37" t="inlineStr">
        <is>
          <t xml:space="preserve">   the restaurants it has - i.e. there is no imbalance to find. */</t>
        </is>
      </c>
    </row>
    <row r="142">
      <c r="A142" s="37" t="inlineStr">
        <is>
          <t>WITH o AS (</t>
        </is>
      </c>
    </row>
    <row r="143">
      <c r="A143" s="37" t="inlineStr">
        <is>
          <t xml:space="preserve">    SELECT city, COUNT(*) AS orders, SUM(total_cost) AS revenue</t>
        </is>
      </c>
    </row>
    <row r="144">
      <c r="A144" s="37" t="inlineStr">
        <is>
          <t xml:space="preserve">    FROM vw_order_detail GROUP BY city</t>
        </is>
      </c>
    </row>
    <row r="145">
      <c r="A145" s="37" t="inlineStr">
        <is>
          <t>),</t>
        </is>
      </c>
    </row>
    <row r="146">
      <c r="A146" s="37" t="inlineStr">
        <is>
          <t>r AS (SELECT city, COUNT(*) AS restaurants FROM dim_restaurant GROUP BY city)</t>
        </is>
      </c>
    </row>
    <row r="147">
      <c r="A147" s="37" t="inlineStr">
        <is>
          <t>SELECT o.city, o.orders,</t>
        </is>
      </c>
    </row>
    <row r="148">
      <c r="A148" s="37" t="inlineStr">
        <is>
          <t xml:space="preserve">       ROUND(100.0 * o.orders   / SUM(o.orders)   OVER (), 2) AS pct_of_orders,</t>
        </is>
      </c>
    </row>
    <row r="149">
      <c r="A149" s="37" t="inlineStr">
        <is>
          <t xml:space="preserve">       ROUND(o.revenue, 2)                                    AS revenue,</t>
        </is>
      </c>
    </row>
    <row r="150">
      <c r="A150" s="37" t="inlineStr">
        <is>
          <t xml:space="preserve">       ROUND(100.0 * o.revenue  / SUM(o.revenue)  OVER (), 2) AS pct_of_revenue,</t>
        </is>
      </c>
    </row>
    <row r="151">
      <c r="A151" s="37" t="inlineStr">
        <is>
          <t xml:space="preserve">       r.restaurants,</t>
        </is>
      </c>
    </row>
    <row r="152">
      <c r="A152" s="37" t="inlineStr">
        <is>
          <t xml:space="preserve">       ROUND(100.0 * r.restaurants / SUM(r.restaurants) OVER (), 2) AS pct_of_restaurants,</t>
        </is>
      </c>
    </row>
    <row r="153">
      <c r="A153" s="37" t="inlineStr">
        <is>
          <t xml:space="preserve">       ROUND((100.0 * o.orders / SUM(o.orders) OVER ())</t>
        </is>
      </c>
    </row>
    <row r="154">
      <c r="A154" s="37" t="inlineStr">
        <is>
          <t xml:space="preserve">           / (100.0 * r.restaurants / SUM(r.restaurants) OVER ()), 3) AS demand_supply_index,</t>
        </is>
      </c>
    </row>
    <row r="155">
      <c r="A155" s="37" t="inlineStr">
        <is>
          <t xml:space="preserve">       ROUND(1.0 * o.orders / r.restaurants, 2)               AS orders_per_restaurant</t>
        </is>
      </c>
    </row>
    <row r="156">
      <c r="A156" s="37" t="inlineStr">
        <is>
          <t>FROM o JOIN r ON r.city = o.city</t>
        </is>
      </c>
    </row>
    <row r="157">
      <c r="A157" s="37" t="inlineStr">
        <is>
          <t>ORDER BY o.orders DESC;</t>
        </is>
      </c>
    </row>
    <row r="159" ht="22" customHeight="1">
      <c r="A159" s="3" t="inlineStr">
        <is>
          <t>POWER BI TASK 3  -  Order amount trends over time</t>
        </is>
      </c>
    </row>
    <row r="160" ht="24" customHeight="1">
      <c r="A160" s="35" t="inlineStr">
        <is>
          <t>Question: How do order amounts fluctuate over time - where are the peaks and troughs?</t>
        </is>
      </c>
    </row>
    <row r="161">
      <c r="A161" s="36" t="inlineStr">
        <is>
          <t>/* Power BI Task 3 - the time-series line chart.</t>
        </is>
      </c>
    </row>
    <row r="162">
      <c r="A162" s="37" t="inlineStr">
        <is>
          <t xml:space="preserve">   A 3-month centred moving average is computed with a window frame so the</t>
        </is>
      </c>
    </row>
    <row r="163">
      <c r="A163" s="37" t="inlineStr">
        <is>
          <t xml:space="preserve">   reader can see whether month-to-month moves are trend or noise. */</t>
        </is>
      </c>
    </row>
    <row r="164">
      <c r="A164" s="37" t="inlineStr">
        <is>
          <t>WITH m AS (</t>
        </is>
      </c>
    </row>
    <row r="165">
      <c r="A165" s="37" t="inlineStr">
        <is>
          <t xml:space="preserve">    SELECT order_month,</t>
        </is>
      </c>
    </row>
    <row r="166">
      <c r="A166" s="37" t="inlineStr">
        <is>
          <t xml:space="preserve">           COUNT(*)             AS orders,</t>
        </is>
      </c>
    </row>
    <row r="167">
      <c r="A167" s="37" t="inlineStr">
        <is>
          <t xml:space="preserve">           SUM(total_cost)      AS revenue,</t>
        </is>
      </c>
    </row>
    <row r="168">
      <c r="A168" s="37" t="inlineStr">
        <is>
          <t xml:space="preserve">           AVG(total_cost)      AS aov,</t>
        </is>
      </c>
    </row>
    <row r="169">
      <c r="A169" s="37" t="inlineStr">
        <is>
          <t xml:space="preserve">           AVG(delivery_time)   AS avg_delivery,</t>
        </is>
      </c>
    </row>
    <row r="170">
      <c r="A170" s="37" t="inlineStr">
        <is>
          <t xml:space="preserve">           AVG(customer_rating) AS avg_rating,</t>
        </is>
      </c>
    </row>
    <row r="171">
      <c r="A171" s="37" t="inlineStr">
        <is>
          <t xml:space="preserve">           COUNT(DISTINCT order_date) AS active_days</t>
        </is>
      </c>
    </row>
    <row r="172">
      <c r="A172" s="37" t="inlineStr">
        <is>
          <t xml:space="preserve">    FROM vw_order_detail</t>
        </is>
      </c>
    </row>
    <row r="173">
      <c r="A173" s="37" t="inlineStr">
        <is>
          <t xml:space="preserve">    GROUP BY order_month</t>
        </is>
      </c>
    </row>
    <row r="174">
      <c r="A174" s="37" t="inlineStr">
        <is>
          <t>)</t>
        </is>
      </c>
    </row>
    <row r="175">
      <c r="A175" s="37" t="inlineStr">
        <is>
          <t>SELECT order_month, orders,</t>
        </is>
      </c>
    </row>
    <row r="176">
      <c r="A176" s="37" t="inlineStr">
        <is>
          <t xml:space="preserve">       ROUND(revenue, 2)                  AS revenue,</t>
        </is>
      </c>
    </row>
    <row r="177">
      <c r="A177" s="37" t="inlineStr">
        <is>
          <t xml:space="preserve">       ROUND(aov, 2)                       AS avg_order_value,</t>
        </is>
      </c>
    </row>
    <row r="178">
      <c r="A178" s="37" t="inlineStr">
        <is>
          <t xml:space="preserve">       ROUND(1.0 * orders / active_days, 1) AS orders_per_active_day,</t>
        </is>
      </c>
    </row>
    <row r="179">
      <c r="A179" s="37" t="inlineStr">
        <is>
          <t xml:space="preserve">       active_days,</t>
        </is>
      </c>
    </row>
    <row r="180">
      <c r="A180" s="37" t="inlineStr">
        <is>
          <t xml:space="preserve">       ROUND(AVG(revenue) OVER (ORDER BY order_month</t>
        </is>
      </c>
    </row>
    <row r="181">
      <c r="A181" s="37" t="inlineStr">
        <is>
          <t xml:space="preserve">             ROWS BETWEEN 1 PRECEDING AND 1 FOLLOWING), 2) AS revenue_3mo_moving_avg,</t>
        </is>
      </c>
    </row>
    <row r="182">
      <c r="A182" s="37" t="inlineStr">
        <is>
          <t xml:space="preserve">       ROUND(100.0 * (revenue - LAG(revenue) OVER (ORDER BY order_month))</t>
        </is>
      </c>
    </row>
    <row r="183">
      <c r="A183" s="37" t="inlineStr">
        <is>
          <t xml:space="preserve">             / LAG(revenue) OVER (ORDER BY order_month), 2) AS revenue_mom_pct,</t>
        </is>
      </c>
    </row>
    <row r="184">
      <c r="A184" s="37" t="inlineStr">
        <is>
          <t xml:space="preserve">       ROUND(100.0 * revenue / SUM(revenue) OVER (), 2)     AS pct_of_year,</t>
        </is>
      </c>
    </row>
    <row r="185">
      <c r="A185" s="37" t="inlineStr">
        <is>
          <t xml:space="preserve">       ROUND(avg_rating, 3)                AS avg_rating</t>
        </is>
      </c>
    </row>
    <row r="186">
      <c r="A186" s="37" t="inlineStr">
        <is>
          <t>FROM m</t>
        </is>
      </c>
    </row>
    <row r="187">
      <c r="A187" s="37" t="inlineStr">
        <is>
          <t>ORDER BY order_month;</t>
        </is>
      </c>
    </row>
    <row r="189" ht="22" customHeight="1">
      <c r="A189" s="3" t="inlineStr">
        <is>
          <t>POWER BI TASK 3  -  Demand by hour of day</t>
        </is>
      </c>
    </row>
    <row r="190" ht="24" customHeight="1">
      <c r="A190" s="35" t="inlineStr">
        <is>
          <t>Question: At what hour of day does demand actually peak?</t>
        </is>
      </c>
    </row>
    <row r="191">
      <c r="A191" s="36" t="inlineStr">
        <is>
          <t>/* Power BI Task 3 supporting cut - the intraday profile.</t>
        </is>
      </c>
    </row>
    <row r="192">
      <c r="A192" s="37" t="inlineStr">
        <is>
          <t xml:space="preserve">   Included because "trends over time" at month grain shows nothing on this</t>
        </is>
      </c>
    </row>
    <row r="193">
      <c r="A193" s="37" t="inlineStr">
        <is>
          <t xml:space="preserve">   dataset; hour-of-day is where a food-delivery business actually plans</t>
        </is>
      </c>
    </row>
    <row r="194">
      <c r="A194" s="37" t="inlineStr">
        <is>
          <t xml:space="preserve">   staffing and rider supply. */</t>
        </is>
      </c>
    </row>
    <row r="195">
      <c r="A195" s="37" t="inlineStr">
        <is>
          <t>SELECT order_hour,</t>
        </is>
      </c>
    </row>
    <row r="196">
      <c r="A196" s="37" t="inlineStr">
        <is>
          <t xml:space="preserve">       daypart,</t>
        </is>
      </c>
    </row>
    <row r="197">
      <c r="A197" s="37" t="inlineStr">
        <is>
          <t xml:space="preserve">       COUNT(*)                                          AS orders,</t>
        </is>
      </c>
    </row>
    <row r="198">
      <c r="A198" s="37" t="inlineStr">
        <is>
          <t xml:space="preserve">       ROUND(SUM(total_cost), 2)                         AS revenue,</t>
        </is>
      </c>
    </row>
    <row r="199">
      <c r="A199" s="37" t="inlineStr">
        <is>
          <t xml:space="preserve">       ROUND(AVG(total_cost), 2)                         AS avg_order_value,</t>
        </is>
      </c>
    </row>
    <row r="200">
      <c r="A200" s="37" t="inlineStr">
        <is>
          <t xml:space="preserve">       ROUND(AVG(delivery_time), 1)                      AS avg_delivery_time,</t>
        </is>
      </c>
    </row>
    <row r="201">
      <c r="A201" s="37" t="inlineStr">
        <is>
          <t xml:space="preserve">       ROUND(100.0 * COUNT(*) / SUM(COUNT(*)) OVER (), 2) AS pct_of_orders,</t>
        </is>
      </c>
    </row>
    <row r="202">
      <c r="A202" s="37" t="inlineStr">
        <is>
          <t xml:space="preserve">       ROUND(1.0 * COUNT(*) / (SUM(COUNT(*)) OVER () / 24.0), 3) AS index_vs_flat_day</t>
        </is>
      </c>
    </row>
    <row r="203">
      <c r="A203" s="37" t="inlineStr">
        <is>
          <t>FROM vw_order_detail</t>
        </is>
      </c>
    </row>
    <row r="204">
      <c r="A204" s="37" t="inlineStr">
        <is>
          <t>GROUP BY order_hour, daypart</t>
        </is>
      </c>
    </row>
    <row r="205">
      <c r="A205" s="37" t="inlineStr">
        <is>
          <t>ORDER BY order_hour;</t>
        </is>
      </c>
    </row>
    <row r="207" ht="22" customHeight="1">
      <c r="A207" s="3" t="inlineStr">
        <is>
          <t>POWER BI TASK 4  -  Factors affecting average rating</t>
        </is>
      </c>
    </row>
    <row r="208" ht="24" customHeight="1">
      <c r="A208" s="35" t="inlineStr">
        <is>
          <t>Question: Which factors correlate with restaurant rating - price, delivery time, volume?</t>
        </is>
      </c>
    </row>
    <row r="209">
      <c r="A209" s="36" t="inlineStr">
        <is>
          <t>/* Power BI Task 4 - the correlation matrix / scatter plot.</t>
        </is>
      </c>
    </row>
    <row r="210">
      <c r="A210" s="37" t="inlineStr">
        <is>
          <t xml:space="preserve">   SQLite has no CORR(), so Pearson r is built from first principles at</t>
        </is>
      </c>
    </row>
    <row r="211">
      <c r="A211" s="37" t="inlineStr">
        <is>
          <t xml:space="preserve">   restaurant grain:  r = (n*Sxy - Sx*Sy) / sqrt((n*Sxx - Sx^2)(n*Syy - Sy^2)).</t>
        </is>
      </c>
    </row>
    <row r="212">
      <c r="A212" s="37" t="inlineStr">
        <is>
          <t xml:space="preserve">   Each row is one candidate driver tested against the published rating. */</t>
        </is>
      </c>
    </row>
    <row r="213">
      <c r="A213" s="37" t="inlineStr">
        <is>
          <t>WITH r AS (</t>
        </is>
      </c>
    </row>
    <row r="214">
      <c r="A214" s="37" t="inlineStr">
        <is>
          <t xml:space="preserve">    SELECT restaurant_id,</t>
        </is>
      </c>
    </row>
    <row r="215">
      <c r="A215" s="37" t="inlineStr">
        <is>
          <t xml:space="preserve">           restaurant_avg_rating          AS rating,</t>
        </is>
      </c>
    </row>
    <row r="216">
      <c r="A216" s="37" t="inlineStr">
        <is>
          <t xml:space="preserve">           COUNT(*)                       AS orders,</t>
        </is>
      </c>
    </row>
    <row r="217">
      <c r="A217" s="37" t="inlineStr">
        <is>
          <t xml:space="preserve">           SUM(total_cost)                AS revenue,</t>
        </is>
      </c>
    </row>
    <row r="218">
      <c r="A218" s="37" t="inlineStr">
        <is>
          <t xml:space="preserve">           AVG(total_cost)                AS aov,</t>
        </is>
      </c>
    </row>
    <row r="219">
      <c r="A219" s="37" t="inlineStr">
        <is>
          <t xml:space="preserve">           AVG(delivery_time)             AS delivery,</t>
        </is>
      </c>
    </row>
    <row r="220">
      <c r="A220" s="37" t="inlineStr">
        <is>
          <t xml:space="preserve">           AVG(customer_rating)           AS cust_rating,</t>
        </is>
      </c>
    </row>
    <row r="221">
      <c r="A221" s="37" t="inlineStr">
        <is>
          <t xml:space="preserve">           AVG(item_count)                AS items,</t>
        </is>
      </c>
    </row>
    <row r="222">
      <c r="A222" s="37" t="inlineStr">
        <is>
          <t xml:space="preserve">           MAX(total_ratings)             AS total_ratings</t>
        </is>
      </c>
    </row>
    <row r="223">
      <c r="A223" s="37" t="inlineStr">
        <is>
          <t xml:space="preserve">    FROM vw_order_detail</t>
        </is>
      </c>
    </row>
    <row r="224">
      <c r="A224" s="37" t="inlineStr">
        <is>
          <t xml:space="preserve">    GROUP BY restaurant_id</t>
        </is>
      </c>
    </row>
    <row r="225">
      <c r="A225" s="37" t="inlineStr">
        <is>
          <t>),</t>
        </is>
      </c>
    </row>
    <row r="226">
      <c r="A226" s="37" t="inlineStr">
        <is>
          <t>pairs AS (</t>
        </is>
      </c>
    </row>
    <row r="227">
      <c r="A227" s="37" t="inlineStr">
        <is>
          <t xml:space="preserve">    SELECT 'Orders received'       AS factor, rating AS y, orders        AS x FROM r</t>
        </is>
      </c>
    </row>
    <row r="228">
      <c r="A228" s="37" t="inlineStr">
        <is>
          <t xml:space="preserve">    UNION ALL SELECT 'Total revenue',          rating, revenue       FROM r</t>
        </is>
      </c>
    </row>
    <row r="229">
      <c r="A229" s="37" t="inlineStr">
        <is>
          <t xml:space="preserve">    UNION ALL SELECT 'Avg order value',        rating, aov           FROM r</t>
        </is>
      </c>
    </row>
    <row r="230">
      <c r="A230" s="37" t="inlineStr">
        <is>
          <t xml:space="preserve">    UNION ALL SELECT 'Avg delivery time',      rating, delivery      FROM r</t>
        </is>
      </c>
    </row>
    <row r="231">
      <c r="A231" s="37" t="inlineStr">
        <is>
          <t xml:space="preserve">    UNION ALL SELECT 'Customer rating given',  rating, cust_rating   FROM r</t>
        </is>
      </c>
    </row>
    <row r="232">
      <c r="A232" s="37" t="inlineStr">
        <is>
          <t xml:space="preserve">    UNION ALL SELECT 'Items per order',        rating, items         FROM r</t>
        </is>
      </c>
    </row>
    <row r="233">
      <c r="A233" s="37" t="inlineStr">
        <is>
          <t xml:space="preserve">    UNION ALL SELECT 'Total ratings count',    rating, total_ratings FROM r</t>
        </is>
      </c>
    </row>
    <row r="234">
      <c r="A234" s="37" t="inlineStr">
        <is>
          <t>)</t>
        </is>
      </c>
    </row>
    <row r="235">
      <c r="A235" s="37" t="inlineStr">
        <is>
          <t>SELECT factor,</t>
        </is>
      </c>
    </row>
    <row r="236">
      <c r="A236" s="37" t="inlineStr">
        <is>
          <t xml:space="preserve">       COUNT(*) AS n,</t>
        </is>
      </c>
    </row>
    <row r="237">
      <c r="A237" s="37" t="inlineStr">
        <is>
          <t xml:space="preserve">       ROUND((COUNT(*)*SUM(x*y) - SUM(x)*SUM(y)) /</t>
        </is>
      </c>
    </row>
    <row r="238">
      <c r="A238" s="37" t="inlineStr">
        <is>
          <t xml:space="preserve">             (SQRT(COUNT(*)*SUM(x*x) - SUM(x)*SUM(x)) *</t>
        </is>
      </c>
    </row>
    <row r="239">
      <c r="A239" s="37" t="inlineStr">
        <is>
          <t xml:space="preserve">              SQRT(COUNT(*)*SUM(y*y) - SUM(y)*SUM(y))), 4) AS pearson_r,</t>
        </is>
      </c>
    </row>
    <row r="240">
      <c r="A240" s="37" t="inlineStr">
        <is>
          <t xml:space="preserve">       ROUND(POWER((COUNT(*)*SUM(x*y) - SUM(x)*SUM(y)) /</t>
        </is>
      </c>
    </row>
    <row r="241">
      <c r="A241" s="37" t="inlineStr">
        <is>
          <t xml:space="preserve">             (SQRT(COUNT(*)*SUM(x*x) - SUM(x)*SUM(x)) *</t>
        </is>
      </c>
    </row>
    <row r="242">
      <c r="A242" s="37" t="inlineStr">
        <is>
          <t xml:space="preserve">              SQRT(COUNT(*)*SUM(y*y) - SUM(y)*SUM(y))), 2) * 100, 2) AS variance_explained_pct,</t>
        </is>
      </c>
    </row>
    <row r="243">
      <c r="A243" s="37" t="inlineStr">
        <is>
          <t xml:space="preserve">       CASE WHEN ABS((COUNT(*)*SUM(x*y) - SUM(x)*SUM(y)) /</t>
        </is>
      </c>
    </row>
    <row r="244">
      <c r="A244" s="37" t="inlineStr">
        <is>
          <t xml:space="preserve">                     (SQRT(COUNT(*)*SUM(x*x) - SUM(x)*SUM(x)) *</t>
        </is>
      </c>
    </row>
    <row r="245">
      <c r="A245" s="37" t="inlineStr">
        <is>
          <t xml:space="preserve">                      SQRT(COUNT(*)*SUM(y*y) - SUM(y)*SUM(y)))) &gt;= 0.50 THEN 'Strong'</t>
        </is>
      </c>
    </row>
    <row r="246">
      <c r="A246" s="37" t="inlineStr">
        <is>
          <t xml:space="preserve">            WHEN ABS((COUNT(*)*SUM(x*y) - SUM(x)*SUM(y)) /</t>
        </is>
      </c>
    </row>
    <row r="247">
      <c r="A247" s="37" t="inlineStr">
        <is>
          <t xml:space="preserve">                     (SQRT(COUNT(*)*SUM(x*x) - SUM(x)*SUM(x)) *</t>
        </is>
      </c>
    </row>
    <row r="248">
      <c r="A248" s="37" t="inlineStr">
        <is>
          <t xml:space="preserve">                      SQRT(COUNT(*)*SUM(y*y) - SUM(y)*SUM(y)))) &gt;= 0.30 THEN 'Moderate'</t>
        </is>
      </c>
    </row>
    <row r="249">
      <c r="A249" s="37" t="inlineStr">
        <is>
          <t xml:space="preserve">            WHEN ABS((COUNT(*)*SUM(x*y) - SUM(x)*SUM(y)) /</t>
        </is>
      </c>
    </row>
    <row r="250">
      <c r="A250" s="37" t="inlineStr">
        <is>
          <t xml:space="preserve">                     (SQRT(COUNT(*)*SUM(x*x) - SUM(x)*SUM(x)) *</t>
        </is>
      </c>
    </row>
    <row r="251">
      <c r="A251" s="37" t="inlineStr">
        <is>
          <t xml:space="preserve">                      SQRT(COUNT(*)*SUM(y*y) - SUM(y)*SUM(y)))) &gt;= 0.10 THEN 'Weak'</t>
        </is>
      </c>
    </row>
    <row r="252">
      <c r="A252" s="37" t="inlineStr">
        <is>
          <t xml:space="preserve">            ELSE 'None - statistically indistinguishable from zero' END AS strength</t>
        </is>
      </c>
    </row>
    <row r="253">
      <c r="A253" s="37" t="inlineStr">
        <is>
          <t>FROM pairs</t>
        </is>
      </c>
    </row>
    <row r="254">
      <c r="A254" s="37" t="inlineStr">
        <is>
          <t>GROUP BY factor</t>
        </is>
      </c>
    </row>
    <row r="255">
      <c r="A255" s="37" t="inlineStr">
        <is>
          <t>ORDER BY ABS(pearson_r) DESC;</t>
        </is>
      </c>
    </row>
    <row r="257" ht="22" customHeight="1">
      <c r="A257" s="3" t="inlineStr">
        <is>
          <t>POWER BI TASK 4  -  Delivery time vs satisfaction</t>
        </is>
      </c>
    </row>
    <row r="258" ht="24" customHeight="1">
      <c r="A258" s="35" t="inlineStr">
        <is>
          <t>Question: Does a faster delivery actually earn a better rating?</t>
        </is>
      </c>
    </row>
    <row r="259">
      <c r="A259" s="36" t="inlineStr">
        <is>
          <t>/* Power BI Task 4 supporting cut - the single hypothesis a delivery business</t>
        </is>
      </c>
    </row>
    <row r="260">
      <c r="A260" s="37" t="inlineStr">
        <is>
          <t xml:space="preserve">   most wants to confirm. Deciles of delivery time against mean rating; if the</t>
        </is>
      </c>
    </row>
    <row r="261">
      <c r="A261" s="37" t="inlineStr">
        <is>
          <t xml:space="preserve">   relationship were real the rating column would fall monotonically. */</t>
        </is>
      </c>
    </row>
    <row r="262">
      <c r="A262" s="37" t="inlineStr">
        <is>
          <t>WITH d AS (</t>
        </is>
      </c>
    </row>
    <row r="263">
      <c r="A263" s="37" t="inlineStr">
        <is>
          <t xml:space="preserve">    SELECT delivery_band, delivery_time, customer_rating, total_cost</t>
        </is>
      </c>
    </row>
    <row r="264">
      <c r="A264" s="37" t="inlineStr">
        <is>
          <t xml:space="preserve">    FROM vw_order_detail</t>
        </is>
      </c>
    </row>
    <row r="265">
      <c r="A265" s="37" t="inlineStr">
        <is>
          <t>)</t>
        </is>
      </c>
    </row>
    <row r="266">
      <c r="A266" s="37" t="inlineStr">
        <is>
          <t>SELECT delivery_band,</t>
        </is>
      </c>
    </row>
    <row r="267">
      <c r="A267" s="37" t="inlineStr">
        <is>
          <t xml:space="preserve">       COUNT(*)                     AS orders,</t>
        </is>
      </c>
    </row>
    <row r="268">
      <c r="A268" s="37" t="inlineStr">
        <is>
          <t xml:space="preserve">       ROUND(MIN(delivery_time), 0) AS min_minutes,</t>
        </is>
      </c>
    </row>
    <row r="269">
      <c r="A269" s="37" t="inlineStr">
        <is>
          <t xml:space="preserve">       ROUND(MAX(delivery_time), 0) AS max_minutes,</t>
        </is>
      </c>
    </row>
    <row r="270">
      <c r="A270" s="37" t="inlineStr">
        <is>
          <t xml:space="preserve">       ROUND(AVG(customer_rating), 3) AS avg_customer_rating,</t>
        </is>
      </c>
    </row>
    <row r="271">
      <c r="A271" s="37" t="inlineStr">
        <is>
          <t xml:space="preserve">       ROUND(AVG(total_cost), 2)      AS avg_order_value,</t>
        </is>
      </c>
    </row>
    <row r="272">
      <c r="A272" s="37" t="inlineStr">
        <is>
          <t xml:space="preserve">       ROUND(AVG(customer_rating) - (SELECT AVG(customer_rating) FROM d), 3)</t>
        </is>
      </c>
    </row>
    <row r="273">
      <c r="A273" s="37" t="inlineStr">
        <is>
          <t xml:space="preserve">                                      AS rating_vs_overall</t>
        </is>
      </c>
    </row>
    <row r="274">
      <c r="A274" s="37" t="inlineStr">
        <is>
          <t>FROM d</t>
        </is>
      </c>
    </row>
    <row r="275">
      <c r="A275" s="37" t="inlineStr">
        <is>
          <t>GROUP BY delivery_band</t>
        </is>
      </c>
    </row>
    <row r="276">
      <c r="A276" s="37" t="inlineStr">
        <is>
          <t>ORDER BY min_minutes;</t>
        </is>
      </c>
    </row>
    <row r="278" ht="22" customHeight="1">
      <c r="A278" s="3" t="inlineStr">
        <is>
          <t>POWER BI TASK 5  -  Top 5 restaurants by total sales</t>
        </is>
      </c>
    </row>
    <row r="279" ht="24" customHeight="1">
      <c r="A279" s="35" t="inlineStr">
        <is>
          <t>Question: Which restaurants earn the most, and is their lead durable?</t>
        </is>
      </c>
    </row>
    <row r="280">
      <c r="A280" s="36" t="inlineStr">
        <is>
          <t>/* Power BI Task 5 - the column chart of top earners.</t>
        </is>
      </c>
    </row>
    <row r="281">
      <c r="A281" s="37" t="inlineStr">
        <is>
          <t xml:space="preserve">   pct_above_median and the Poisson z-score test whether a leaderboard position</t>
        </is>
      </c>
    </row>
    <row r="282">
      <c r="A282" s="37" t="inlineStr">
        <is>
          <t xml:space="preserve">   is a real performance gap or just the luckiest draw out of 500 restaurants</t>
        </is>
      </c>
    </row>
    <row r="283">
      <c r="A283" s="37" t="inlineStr">
        <is>
          <t xml:space="preserve">   that each average ~30 orders. */</t>
        </is>
      </c>
    </row>
    <row r="284">
      <c r="A284" s="37" t="inlineStr">
        <is>
          <t>WITH r AS (</t>
        </is>
      </c>
    </row>
    <row r="285">
      <c r="A285" s="37" t="inlineStr">
        <is>
          <t xml:space="preserve">    SELECT restaurant_id, restaurant_name, city, cuisine, price_range,</t>
        </is>
      </c>
    </row>
    <row r="286">
      <c r="A286" s="37" t="inlineStr">
        <is>
          <t xml:space="preserve">           COUNT(*)        AS orders,</t>
        </is>
      </c>
    </row>
    <row r="287">
      <c r="A287" s="37" t="inlineStr">
        <is>
          <t xml:space="preserve">           SUM(total_cost) AS revenue,</t>
        </is>
      </c>
    </row>
    <row r="288">
      <c r="A288" s="37" t="inlineStr">
        <is>
          <t xml:space="preserve">           AVG(total_cost) AS aov</t>
        </is>
      </c>
    </row>
    <row r="289">
      <c r="A289" s="37" t="inlineStr">
        <is>
          <t xml:space="preserve">    FROM vw_order_detail</t>
        </is>
      </c>
    </row>
    <row r="290">
      <c r="A290" s="37" t="inlineStr">
        <is>
          <t xml:space="preserve">    GROUP BY restaurant_id, restaurant_name, city, cuisine, price_range</t>
        </is>
      </c>
    </row>
    <row r="291">
      <c r="A291" s="37" t="inlineStr">
        <is>
          <t>),</t>
        </is>
      </c>
    </row>
    <row r="292">
      <c r="A292" s="37" t="inlineStr">
        <is>
          <t>stats AS (</t>
        </is>
      </c>
    </row>
    <row r="293">
      <c r="A293" s="37" t="inlineStr">
        <is>
          <t xml:space="preserve">    SELECT AVG(orders) AS mean_orders, AVG(revenue) AS mean_rev FROM r</t>
        </is>
      </c>
    </row>
    <row r="294">
      <c r="A294" s="37" t="inlineStr">
        <is>
          <t>)</t>
        </is>
      </c>
    </row>
    <row r="295">
      <c r="A295" s="37" t="inlineStr">
        <is>
          <t>SELECT RANK() OVER (ORDER BY revenue DESC) AS rank,</t>
        </is>
      </c>
    </row>
    <row r="296">
      <c r="A296" s="37" t="inlineStr">
        <is>
          <t xml:space="preserve">       restaurant_name, city, cuisine, price_range, orders,</t>
        </is>
      </c>
    </row>
    <row r="297">
      <c r="A297" s="37" t="inlineStr">
        <is>
          <t xml:space="preserve">       ROUND(revenue, 2)                   AS revenue,</t>
        </is>
      </c>
    </row>
    <row r="298">
      <c r="A298" s="37" t="inlineStr">
        <is>
          <t xml:space="preserve">       ROUND(aov, 2)                       AS avg_order_value,</t>
        </is>
      </c>
    </row>
    <row r="299">
      <c r="A299" s="37" t="inlineStr">
        <is>
          <t xml:space="preserve">       ROUND(100.0 * revenue / (SELECT mean_rev FROM stats) - 100, 1) AS pct_above_avg_restaurant,</t>
        </is>
      </c>
    </row>
    <row r="300">
      <c r="A300" s="36" t="inlineStr">
        <is>
          <t xml:space="preserve">       /* if order arrivals are Poisson with mean m, sd = sqrt(m);</t>
        </is>
      </c>
    </row>
    <row r="301">
      <c r="A301" s="37" t="inlineStr">
        <is>
          <t xml:space="preserve">          z tells us how many sd above the mean this restaurant's count is */</t>
        </is>
      </c>
    </row>
    <row r="302">
      <c r="A302" s="37" t="inlineStr">
        <is>
          <t xml:space="preserve">       ROUND((orders - (SELECT mean_orders FROM stats))</t>
        </is>
      </c>
    </row>
    <row r="303">
      <c r="A303" s="37" t="inlineStr">
        <is>
          <t xml:space="preserve">             / SQRT((SELECT mean_orders FROM stats)), 2) AS order_count_z_score,</t>
        </is>
      </c>
    </row>
    <row r="304">
      <c r="A304" s="37" t="inlineStr">
        <is>
          <t xml:space="preserve">       ROUND(100.0 * SUM(revenue) OVER (ORDER BY revenue DESC</t>
        </is>
      </c>
    </row>
    <row r="305">
      <c r="A305" s="37" t="inlineStr">
        <is>
          <t xml:space="preserve">             ROWS BETWEEN UNBOUNDED PRECEDING AND CURRENT ROW)</t>
        </is>
      </c>
    </row>
    <row r="306">
      <c r="A306" s="37" t="inlineStr">
        <is>
          <t xml:space="preserve">             / SUM(revenue) OVER (), 2)     AS cumulative_revenue_pct</t>
        </is>
      </c>
    </row>
    <row r="307">
      <c r="A307" s="37" t="inlineStr">
        <is>
          <t>FROM r</t>
        </is>
      </c>
    </row>
    <row r="308">
      <c r="A308" s="37" t="inlineStr">
        <is>
          <t>ORDER BY revenue DESC</t>
        </is>
      </c>
    </row>
    <row r="309">
      <c r="A309" s="37" t="inlineStr">
        <is>
          <t>LIMIT 10;</t>
        </is>
      </c>
    </row>
    <row r="311" ht="22" customHeight="1">
      <c r="A311" s="3" t="inlineStr">
        <is>
          <t>POWER BI TASK 6  -  Revenue by area (tree map)</t>
        </is>
      </c>
    </row>
    <row r="312" ht="24" customHeight="1">
      <c r="A312" s="35" t="inlineStr">
        <is>
          <t>Question: Which localities contribute most revenue - and is it volume or basket size?</t>
        </is>
      </c>
    </row>
    <row r="313">
      <c r="A313" s="36" t="inlineStr">
        <is>
          <t>/* Power BI Task 6 - the tree map source.</t>
        </is>
      </c>
    </row>
    <row r="314">
      <c r="A314" s="37" t="inlineStr">
        <is>
          <t xml:space="preserve">   The brief asks us to "analyse if revenue is driven by a high number of orders</t>
        </is>
      </c>
    </row>
    <row r="315">
      <c r="A315" s="37" t="inlineStr">
        <is>
          <t xml:space="preserve">   or high average order value", so both drivers are decomposed explicitly. */</t>
        </is>
      </c>
    </row>
    <row r="316">
      <c r="A316" s="37" t="inlineStr">
        <is>
          <t>WITH a AS (</t>
        </is>
      </c>
    </row>
    <row r="317">
      <c r="A317" s="37" t="inlineStr">
        <is>
          <t xml:space="preserve">    SELECT city, area,</t>
        </is>
      </c>
    </row>
    <row r="318">
      <c r="A318" s="37" t="inlineStr">
        <is>
          <t xml:space="preserve">           COUNT(*)                      AS orders,</t>
        </is>
      </c>
    </row>
    <row r="319">
      <c r="A319" s="37" t="inlineStr">
        <is>
          <t xml:space="preserve">           SUM(total_cost)               AS revenue,</t>
        </is>
      </c>
    </row>
    <row r="320">
      <c r="A320" s="37" t="inlineStr">
        <is>
          <t xml:space="preserve">           AVG(total_cost)               AS aov,</t>
        </is>
      </c>
    </row>
    <row r="321">
      <c r="A321" s="37" t="inlineStr">
        <is>
          <t xml:space="preserve">           COUNT(DISTINCT restaurant_id) AS restaurants</t>
        </is>
      </c>
    </row>
    <row r="322">
      <c r="A322" s="37" t="inlineStr">
        <is>
          <t xml:space="preserve">    FROM vw_order_detail</t>
        </is>
      </c>
    </row>
    <row r="323">
      <c r="A323" s="37" t="inlineStr">
        <is>
          <t xml:space="preserve">    GROUP BY city, area</t>
        </is>
      </c>
    </row>
    <row r="324">
      <c r="A324" s="37" t="inlineStr">
        <is>
          <t>),</t>
        </is>
      </c>
    </row>
    <row r="325">
      <c r="A325" s="37" t="inlineStr">
        <is>
          <t>tot AS (SELECT SUM(revenue) AS tr, AVG(aov) AS mean_aov FROM a)</t>
        </is>
      </c>
    </row>
    <row r="326">
      <c r="A326" s="37" t="inlineStr">
        <is>
          <t>SELECT city, area, restaurants, orders,</t>
        </is>
      </c>
    </row>
    <row r="327">
      <c r="A327" s="37" t="inlineStr">
        <is>
          <t xml:space="preserve">       ROUND(revenue, 2)                                     AS revenue,</t>
        </is>
      </c>
    </row>
    <row r="328">
      <c r="A328" s="37" t="inlineStr">
        <is>
          <t xml:space="preserve">       ROUND(100.0 * revenue / (SELECT tr FROM tot), 2)       AS pct_of_total_revenue,</t>
        </is>
      </c>
    </row>
    <row r="329">
      <c r="A329" s="37" t="inlineStr">
        <is>
          <t xml:space="preserve">       ROUND(aov, 2)                                         AS avg_order_value,</t>
        </is>
      </c>
    </row>
    <row r="330">
      <c r="A330" s="37" t="inlineStr">
        <is>
          <t xml:space="preserve">       ROUND(1.0 * orders / restaurants, 2)                  AS orders_per_restaurant,</t>
        </is>
      </c>
    </row>
    <row r="331">
      <c r="A331" s="37" t="inlineStr">
        <is>
          <t xml:space="preserve">       ROUND(aov - (SELECT mean_aov FROM tot), 2)            AS aov_vs_mean,</t>
        </is>
      </c>
    </row>
    <row r="332">
      <c r="A332" s="37" t="inlineStr">
        <is>
          <t xml:space="preserve">       CASE WHEN aov &gt; (SELECT mean_aov FROM tot) THEN 'Basket' ELSE 'Volume' END</t>
        </is>
      </c>
    </row>
    <row r="333">
      <c r="A333" s="37" t="inlineStr">
        <is>
          <t xml:space="preserve">                                                             AS primary_driver,</t>
        </is>
      </c>
    </row>
    <row r="334">
      <c r="A334" s="37" t="inlineStr">
        <is>
          <t xml:space="preserve">       RANK() OVER (ORDER BY revenue DESC)                   AS revenue_rank</t>
        </is>
      </c>
    </row>
    <row r="335">
      <c r="A335" s="37" t="inlineStr">
        <is>
          <t>FROM a</t>
        </is>
      </c>
    </row>
    <row r="336">
      <c r="A336" s="37" t="inlineStr">
        <is>
          <t>ORDER BY revenue DESC;</t>
        </is>
      </c>
    </row>
    <row r="338" ht="22" customHeight="1">
      <c r="A338" s="3" t="inlineStr">
        <is>
          <t>POWER BI TASK 6  -  Revenue by area, rolled up</t>
        </is>
      </c>
    </row>
    <row r="339" ht="24" customHeight="1">
      <c r="A339" s="35" t="inlineStr">
        <is>
          <t>Question: Area-level totals across all cities, for the top level of the tree map.</t>
        </is>
      </c>
    </row>
    <row r="340">
      <c r="A340" s="36" t="inlineStr">
        <is>
          <t>/* Power BI Task 6 - the parent level of the tree map hierarchy. */</t>
        </is>
      </c>
    </row>
    <row r="341">
      <c r="A341" s="37" t="inlineStr">
        <is>
          <t>SELECT area,</t>
        </is>
      </c>
    </row>
    <row r="342">
      <c r="A342" s="37" t="inlineStr">
        <is>
          <t xml:space="preserve">       COUNT(DISTINCT restaurant_id)                          AS restaurants,</t>
        </is>
      </c>
    </row>
    <row r="343">
      <c r="A343" s="37" t="inlineStr">
        <is>
          <t xml:space="preserve">       COUNT(*)                                               AS orders,</t>
        </is>
      </c>
    </row>
    <row r="344">
      <c r="A344" s="37" t="inlineStr">
        <is>
          <t xml:space="preserve">       ROUND(SUM(total_cost), 2)                              AS revenue,</t>
        </is>
      </c>
    </row>
    <row r="345">
      <c r="A345" s="37" t="inlineStr">
        <is>
          <t xml:space="preserve">       ROUND(100.0 * SUM(total_cost) / SUM(SUM(total_cost)) OVER (), 2) AS pct_of_revenue,</t>
        </is>
      </c>
    </row>
    <row r="346">
      <c r="A346" s="37" t="inlineStr">
        <is>
          <t xml:space="preserve">       ROUND(AVG(total_cost), 2)                              AS avg_order_value,</t>
        </is>
      </c>
    </row>
    <row r="347">
      <c r="A347" s="37" t="inlineStr">
        <is>
          <t xml:space="preserve">       ROUND(1.0 * COUNT(*) / COUNT(DISTINCT restaurant_id), 2) AS orders_per_restaurant</t>
        </is>
      </c>
    </row>
    <row r="348">
      <c r="A348" s="37" t="inlineStr">
        <is>
          <t>FROM vw_order_detail</t>
        </is>
      </c>
    </row>
    <row r="349">
      <c r="A349" s="37" t="inlineStr">
        <is>
          <t>GROUP BY area</t>
        </is>
      </c>
    </row>
    <row r="350">
      <c r="A350" s="37" t="inlineStr">
        <is>
          <t>ORDER BY revenue DESC;</t>
        </is>
      </c>
    </row>
    <row r="352" ht="22" customHeight="1">
      <c r="A352" s="3" t="inlineStr">
        <is>
          <t>POWER BI TASK 7  -  Order density by city x daypart (heat map)</t>
        </is>
      </c>
    </row>
    <row r="353" ht="24" customHeight="1">
      <c r="A353" s="35" t="inlineStr">
        <is>
          <t>Question: Where and when is order concentration highest?</t>
        </is>
      </c>
    </row>
    <row r="354">
      <c r="A354" s="36" t="inlineStr">
        <is>
          <t>/* Power BI Task 7 - the heat map.</t>
        </is>
      </c>
    </row>
    <row r="355">
      <c r="A355" s="37" t="inlineStr">
        <is>
          <t xml:space="preserve">   A plain city heat map on this data just re-draws restaurant counts, so the</t>
        </is>
      </c>
    </row>
    <row r="356">
      <c r="A356" s="37" t="inlineStr">
        <is>
          <t xml:space="preserve">   grid is city x daypart: that is a matrix an operations team can actually</t>
        </is>
      </c>
    </row>
    <row r="357">
      <c r="A357" s="37" t="inlineStr">
        <is>
          <t xml:space="preserve">   staff against. Conditional aggregation performs the pivot. */</t>
        </is>
      </c>
    </row>
    <row r="358">
      <c r="A358" s="37" t="inlineStr">
        <is>
          <t>SELECT city,</t>
        </is>
      </c>
    </row>
    <row r="359">
      <c r="A359" s="37" t="inlineStr">
        <is>
          <t xml:space="preserve">       COUNT(*)                                                       AS total_orders,</t>
        </is>
      </c>
    </row>
    <row r="360">
      <c r="A360" s="37" t="inlineStr">
        <is>
          <t xml:space="preserve">       SUM(CASE WHEN daypart='Late night' THEN 1 ELSE 0 END)           AS late_night,</t>
        </is>
      </c>
    </row>
    <row r="361">
      <c r="A361" s="37" t="inlineStr">
        <is>
          <t xml:space="preserve">       SUM(CASE WHEN daypart='Morning'    THEN 1 ELSE 0 END)           AS morning,</t>
        </is>
      </c>
    </row>
    <row r="362">
      <c r="A362" s="37" t="inlineStr">
        <is>
          <t xml:space="preserve">       SUM(CASE WHEN daypart='Afternoon'  THEN 1 ELSE 0 END)           AS afternoon,</t>
        </is>
      </c>
    </row>
    <row r="363">
      <c r="A363" s="37" t="inlineStr">
        <is>
          <t xml:space="preserve">       SUM(CASE WHEN daypart='Evening'    THEN 1 ELSE 0 END)           AS evening,</t>
        </is>
      </c>
    </row>
    <row r="364">
      <c r="A364" s="37" t="inlineStr">
        <is>
          <t xml:space="preserve">       SUM(CASE WHEN daypart='Night'      THEN 1 ELSE 0 END)           AS night,</t>
        </is>
      </c>
    </row>
    <row r="365">
      <c r="A365" s="37" t="inlineStr">
        <is>
          <t xml:space="preserve">       ROUND(1.0 * COUNT(*) / COUNT(DISTINCT restaurant_id), 2)        AS orders_per_restaurant,</t>
        </is>
      </c>
    </row>
    <row r="366">
      <c r="A366" s="37" t="inlineStr">
        <is>
          <t xml:space="preserve">       ROUND(100.0 * COUNT(*) / SUM(COUNT(*)) OVER (), 2)              AS pct_of_orders</t>
        </is>
      </c>
    </row>
    <row r="367">
      <c r="A367" s="37" t="inlineStr">
        <is>
          <t>FROM vw_order_detail</t>
        </is>
      </c>
    </row>
    <row r="368">
      <c r="A368" s="37" t="inlineStr">
        <is>
          <t>GROUP BY city</t>
        </is>
      </c>
    </row>
    <row r="369">
      <c r="A369" s="37" t="inlineStr">
        <is>
          <t>ORDER BY total_orders DESC;</t>
        </is>
      </c>
    </row>
    <row r="371" ht="22" customHeight="1">
      <c r="A371" s="3" t="inlineStr">
        <is>
          <t>POWER BI TASK 8  -  KPI cards</t>
        </is>
      </c>
    </row>
    <row r="372" ht="24" customHeight="1">
      <c r="A372" s="35" t="inlineStr">
        <is>
          <t>Question: Total revenue, average order value and the headline operating metrics.</t>
        </is>
      </c>
    </row>
    <row r="373">
      <c r="A373" s="36" t="inlineStr">
        <is>
          <t>/* Power BI Task 8 - the KPI card strip.</t>
        </is>
      </c>
    </row>
    <row r="374">
      <c r="A374" s="37" t="inlineStr">
        <is>
          <t xml:space="preserve">   H1-vs-H2 comparison is included because the brief asks for "a comparison</t>
        </is>
      </c>
    </row>
    <row r="375">
      <c r="A375" s="37" t="inlineStr">
        <is>
          <t xml:space="preserve">   (e.g. % increase or decrease from the previous period)". */</t>
        </is>
      </c>
    </row>
    <row r="376">
      <c r="A376" s="37" t="inlineStr">
        <is>
          <t>WITH k AS (</t>
        </is>
      </c>
    </row>
    <row r="377">
      <c r="A377" s="37" t="inlineStr">
        <is>
          <t xml:space="preserve">    SELECT COUNT(*)                                           AS total_orders,</t>
        </is>
      </c>
    </row>
    <row r="378">
      <c r="A378" s="37" t="inlineStr">
        <is>
          <t xml:space="preserve">           SUM(total_cost)                                    AS total_revenue,</t>
        </is>
      </c>
    </row>
    <row r="379">
      <c r="A379" s="37" t="inlineStr">
        <is>
          <t xml:space="preserve">           AVG(total_cost)                                    AS avg_order_value,</t>
        </is>
      </c>
    </row>
    <row r="380">
      <c r="A380" s="37" t="inlineStr">
        <is>
          <t xml:space="preserve">           COUNT(DISTINCT restaurant_id)                      AS restaurants,</t>
        </is>
      </c>
    </row>
    <row r="381">
      <c r="A381" s="37" t="inlineStr">
        <is>
          <t xml:space="preserve">           COUNT(DISTINCT city)                               AS cities,</t>
        </is>
      </c>
    </row>
    <row r="382">
      <c r="A382" s="37" t="inlineStr">
        <is>
          <t xml:space="preserve">           COUNT(DISTINCT customer_id)                        AS customers,</t>
        </is>
      </c>
    </row>
    <row r="383">
      <c r="A383" s="37" t="inlineStr">
        <is>
          <t xml:space="preserve">           AVG(delivery_time)                                 AS avg_delivery_time,</t>
        </is>
      </c>
    </row>
    <row r="384">
      <c r="A384" s="37" t="inlineStr">
        <is>
          <t xml:space="preserve">           AVG(customer_rating)                               AS avg_customer_rating,</t>
        </is>
      </c>
    </row>
    <row r="385">
      <c r="A385" s="37" t="inlineStr">
        <is>
          <t xml:space="preserve">           AVG(item_count)                                    AS avg_items,</t>
        </is>
      </c>
    </row>
    <row r="386">
      <c r="A386" s="37" t="inlineStr">
        <is>
          <t xml:space="preserve">           AVG(total_cost / item_count)                       AS avg_cost_per_item,</t>
        </is>
      </c>
    </row>
    <row r="387">
      <c r="A387" s="37" t="inlineStr">
        <is>
          <t xml:space="preserve">           SUM(CASE WHEN order_month &lt;= '2024-06' THEN total_cost ELSE 0 END) AS h1_revenue,</t>
        </is>
      </c>
    </row>
    <row r="388">
      <c r="A388" s="37" t="inlineStr">
        <is>
          <t xml:space="preserve">           SUM(CASE WHEN order_month &gt;  '2024-06' THEN total_cost ELSE 0 END) AS h2_revenue,</t>
        </is>
      </c>
    </row>
    <row r="389">
      <c r="A389" s="37" t="inlineStr">
        <is>
          <t xml:space="preserve">           SUM(CASE WHEN order_month &lt;= '2024-06' THEN 1 ELSE 0 END)          AS h1_orders,</t>
        </is>
      </c>
    </row>
    <row r="390">
      <c r="A390" s="37" t="inlineStr">
        <is>
          <t xml:space="preserve">           SUM(CASE WHEN order_month &gt;  '2024-06' THEN 1 ELSE 0 END)          AS h2_orders</t>
        </is>
      </c>
    </row>
    <row r="391">
      <c r="A391" s="37" t="inlineStr">
        <is>
          <t xml:space="preserve">    FROM vw_order_detail</t>
        </is>
      </c>
    </row>
    <row r="392">
      <c r="A392" s="37" t="inlineStr">
        <is>
          <t>)</t>
        </is>
      </c>
    </row>
    <row r="393">
      <c r="A393" s="37" t="inlineStr">
        <is>
          <t>SELECT total_orders,</t>
        </is>
      </c>
    </row>
    <row r="394">
      <c r="A394" s="37" t="inlineStr">
        <is>
          <t xml:space="preserve">       ROUND(total_revenue, 2)        AS total_revenue,</t>
        </is>
      </c>
    </row>
    <row r="395">
      <c r="A395" s="37" t="inlineStr">
        <is>
          <t xml:space="preserve">       ROUND(avg_order_value, 2)      AS avg_order_value,</t>
        </is>
      </c>
    </row>
    <row r="396">
      <c r="A396" s="37" t="inlineStr">
        <is>
          <t xml:space="preserve">       restaurants, cities, customers,</t>
        </is>
      </c>
    </row>
    <row r="397">
      <c r="A397" s="37" t="inlineStr">
        <is>
          <t xml:space="preserve">       ROUND(avg_delivery_time, 1)    AS avg_delivery_time,</t>
        </is>
      </c>
    </row>
    <row r="398">
      <c r="A398" s="37" t="inlineStr">
        <is>
          <t xml:space="preserve">       ROUND(avg_customer_rating, 2)  AS avg_customer_rating,</t>
        </is>
      </c>
    </row>
    <row r="399">
      <c r="A399" s="37" t="inlineStr">
        <is>
          <t xml:space="preserve">       ROUND(avg_items, 2)            AS avg_items_per_order,</t>
        </is>
      </c>
    </row>
    <row r="400">
      <c r="A400" s="37" t="inlineStr">
        <is>
          <t xml:space="preserve">       ROUND(avg_cost_per_item, 2)    AS avg_cost_per_item,</t>
        </is>
      </c>
    </row>
    <row r="401">
      <c r="A401" s="37" t="inlineStr">
        <is>
          <t xml:space="preserve">       ROUND(h1_revenue, 2)           AS h1_revenue,</t>
        </is>
      </c>
    </row>
    <row r="402">
      <c r="A402" s="37" t="inlineStr">
        <is>
          <t xml:space="preserve">       ROUND(h2_revenue, 2)           AS h2_revenue,</t>
        </is>
      </c>
    </row>
    <row r="403">
      <c r="A403" s="37" t="inlineStr">
        <is>
          <t xml:space="preserve">       ROUND(100.0 * (h2_revenue - h1_revenue) / h1_revenue, 2) AS revenue_h2_vs_h1_pct,</t>
        </is>
      </c>
    </row>
    <row r="404">
      <c r="A404" s="37" t="inlineStr">
        <is>
          <t xml:space="preserve">       ROUND(100.0 * (h2_orders  - h1_orders)  / h1_orders,  2) AS orders_h2_vs_h1_pct,</t>
        </is>
      </c>
    </row>
    <row r="405">
      <c r="A405" s="37" t="inlineStr">
        <is>
          <t xml:space="preserve">       ROUND(1.0 * total_orders / restaurants, 1) AS orders_per_restaurant</t>
        </is>
      </c>
    </row>
    <row r="406">
      <c r="A406" s="37" t="inlineStr">
        <is>
          <t>FROM k;</t>
        </is>
      </c>
    </row>
    <row r="408" ht="22" customHeight="1">
      <c r="A408" s="3" t="inlineStr">
        <is>
          <t>POWER BI TASK 9  -  Restaurant-wise sales summary table</t>
        </is>
      </c>
    </row>
    <row r="409" ht="24" customHeight="1">
      <c r="A409" s="35" t="inlineStr">
        <is>
          <t>Question: A sortable, filterable table of restaurant performance with outlier flags.</t>
        </is>
      </c>
    </row>
    <row r="410">
      <c r="A410" s="36" t="inlineStr">
        <is>
          <t>/* Power BI Task 9 - the detail table.</t>
        </is>
      </c>
    </row>
    <row r="411">
      <c r="A411" s="37" t="inlineStr">
        <is>
          <t xml:space="preserve">   The brief asks for conditional formatting to highlight best and worst, so</t>
        </is>
      </c>
    </row>
    <row r="412">
      <c r="A412" s="37" t="inlineStr">
        <is>
          <t xml:space="preserve">   PERCENT_RANK provides the percentile that drives the colour rule, and the</t>
        </is>
      </c>
    </row>
    <row r="413">
      <c r="A413" s="37" t="inlineStr">
        <is>
          <t xml:space="preserve">   performance_flag column makes the banding explicit rather than cosmetic. */</t>
        </is>
      </c>
    </row>
    <row r="414">
      <c r="A414" s="37" t="inlineStr">
        <is>
          <t>WITH r AS (</t>
        </is>
      </c>
    </row>
    <row r="415">
      <c r="A415" s="37" t="inlineStr">
        <is>
          <t xml:space="preserve">    SELECT restaurant_id, restaurant_name, city, area, cuisine, price_range,</t>
        </is>
      </c>
    </row>
    <row r="416">
      <c r="A416" s="37" t="inlineStr">
        <is>
          <t xml:space="preserve">           delivery_available,</t>
        </is>
      </c>
    </row>
    <row r="417">
      <c r="A417" s="37" t="inlineStr">
        <is>
          <t xml:space="preserve">           MAX(restaurant_avg_rating) AS published_rating,</t>
        </is>
      </c>
    </row>
    <row r="418">
      <c r="A418" s="37" t="inlineStr">
        <is>
          <t xml:space="preserve">           COUNT(*)                   AS orders,</t>
        </is>
      </c>
    </row>
    <row r="419">
      <c r="A419" s="37" t="inlineStr">
        <is>
          <t xml:space="preserve">           SUM(total_cost)            AS revenue,</t>
        </is>
      </c>
    </row>
    <row r="420">
      <c r="A420" s="37" t="inlineStr">
        <is>
          <t xml:space="preserve">           AVG(total_cost)            AS aov,</t>
        </is>
      </c>
    </row>
    <row r="421">
      <c r="A421" s="37" t="inlineStr">
        <is>
          <t xml:space="preserve">           AVG(delivery_time)         AS avg_delivery,</t>
        </is>
      </c>
    </row>
    <row r="422">
      <c r="A422" s="37" t="inlineStr">
        <is>
          <t xml:space="preserve">           AVG(customer_rating)       AS avg_customer_rating,</t>
        </is>
      </c>
    </row>
    <row r="423">
      <c r="A423" s="37" t="inlineStr">
        <is>
          <t xml:space="preserve">           AVG(item_count)            AS avg_items</t>
        </is>
      </c>
    </row>
    <row r="424">
      <c r="A424" s="37" t="inlineStr">
        <is>
          <t xml:space="preserve">    FROM vw_order_detail</t>
        </is>
      </c>
    </row>
    <row r="425">
      <c r="A425" s="37" t="inlineStr">
        <is>
          <t xml:space="preserve">    GROUP BY restaurant_id, restaurant_name, city, area, cuisine, price_range,</t>
        </is>
      </c>
    </row>
    <row r="426">
      <c r="A426" s="37" t="inlineStr">
        <is>
          <t xml:space="preserve">             delivery_available</t>
        </is>
      </c>
    </row>
    <row r="427">
      <c r="A427" s="37" t="inlineStr">
        <is>
          <t>)</t>
        </is>
      </c>
    </row>
    <row r="428">
      <c r="A428" s="37" t="inlineStr">
        <is>
          <t>SELECT restaurant_name, city, area, cuisine, price_range, delivery_available,</t>
        </is>
      </c>
    </row>
    <row r="429">
      <c r="A429" s="37" t="inlineStr">
        <is>
          <t xml:space="preserve">       orders,</t>
        </is>
      </c>
    </row>
    <row r="430">
      <c r="A430" s="37" t="inlineStr">
        <is>
          <t xml:space="preserve">       ROUND(revenue, 2)              AS revenue,</t>
        </is>
      </c>
    </row>
    <row r="431">
      <c r="A431" s="37" t="inlineStr">
        <is>
          <t xml:space="preserve">       ROUND(aov, 2)                  AS avg_order_value,</t>
        </is>
      </c>
    </row>
    <row r="432">
      <c r="A432" s="37" t="inlineStr">
        <is>
          <t xml:space="preserve">       ROUND(avg_items, 2)            AS avg_items,</t>
        </is>
      </c>
    </row>
    <row r="433">
      <c r="A433" s="37" t="inlineStr">
        <is>
          <t xml:space="preserve">       ROUND(avg_delivery, 1)         AS avg_delivery_time,</t>
        </is>
      </c>
    </row>
    <row r="434">
      <c r="A434" s="37" t="inlineStr">
        <is>
          <t xml:space="preserve">       published_rating,</t>
        </is>
      </c>
    </row>
    <row r="435">
      <c r="A435" s="37" t="inlineStr">
        <is>
          <t xml:space="preserve">       ROUND(avg_customer_rating, 2)  AS avg_customer_rating,</t>
        </is>
      </c>
    </row>
    <row r="436">
      <c r="A436" s="37" t="inlineStr">
        <is>
          <t xml:space="preserve">       ROUND(avg_customer_rating - published_rating, 2) AS rating_gap,</t>
        </is>
      </c>
    </row>
    <row r="437">
      <c r="A437" s="37" t="inlineStr">
        <is>
          <t xml:space="preserve">       RANK()         OVER (ORDER BY revenue DESC)      AS revenue_rank,</t>
        </is>
      </c>
    </row>
    <row r="438">
      <c r="A438" s="37" t="inlineStr">
        <is>
          <t xml:space="preserve">       ROUND(100.0 * PERCENT_RANK() OVER (ORDER BY revenue), 1) AS revenue_percentile,</t>
        </is>
      </c>
    </row>
    <row r="439">
      <c r="A439" s="37" t="inlineStr">
        <is>
          <t xml:space="preserve">       CASE WHEN PERCENT_RANK() OVER (ORDER BY revenue) &gt;= 0.90 THEN 'Top 10%'</t>
        </is>
      </c>
    </row>
    <row r="440">
      <c r="A440" s="37" t="inlineStr">
        <is>
          <t xml:space="preserve">            WHEN PERCENT_RANK() OVER (ORDER BY revenue) &gt;= 0.75 THEN 'Upper quartile'</t>
        </is>
      </c>
    </row>
    <row r="441">
      <c r="A441" s="37" t="inlineStr">
        <is>
          <t xml:space="preserve">            WHEN PERCENT_RANK() OVER (ORDER BY revenue) &lt;= 0.10 THEN 'Bottom 10%'</t>
        </is>
      </c>
    </row>
    <row r="442">
      <c r="A442" s="37" t="inlineStr">
        <is>
          <t xml:space="preserve">            WHEN PERCENT_RANK() OVER (ORDER BY revenue) &lt;= 0.25 THEN 'Lower quartile'</t>
        </is>
      </c>
    </row>
    <row r="443">
      <c r="A443" s="37" t="inlineStr">
        <is>
          <t xml:space="preserve">            ELSE 'Middle' END         AS performance_flag</t>
        </is>
      </c>
    </row>
    <row r="444">
      <c r="A444" s="37" t="inlineStr">
        <is>
          <t>FROM r</t>
        </is>
      </c>
    </row>
    <row r="445">
      <c r="A445" s="37" t="inlineStr">
        <is>
          <t>ORDER BY revenue DESC;</t>
        </is>
      </c>
    </row>
    <row r="447" ht="22" customHeight="1">
      <c r="A447" s="3" t="inlineStr">
        <is>
          <t>POWER BI TASK 10  -  Dashboard slicer dimensions</t>
        </is>
      </c>
    </row>
    <row r="448" ht="24" customHeight="1">
      <c r="A448" s="35" t="inlineStr">
        <is>
          <t>Question: The dimensions the combined dashboard must be filterable by.</t>
        </is>
      </c>
    </row>
    <row r="449">
      <c r="A449" s="36" t="inlineStr">
        <is>
          <t>/* Power BI Task 10 - every slicer the dashboard exposes, with the cardinality</t>
        </is>
      </c>
    </row>
    <row r="450">
      <c r="A450" s="37" t="inlineStr">
        <is>
          <t xml:space="preserve">   and revenue behind each member. This is the query that proves the model</t>
        </is>
      </c>
    </row>
    <row r="451">
      <c r="A451" s="37" t="inlineStr">
        <is>
          <t xml:space="preserve">   supports drill-down by city, area, cuisine, price band and payment rail. */</t>
        </is>
      </c>
    </row>
    <row r="452">
      <c r="A452" s="37" t="inlineStr">
        <is>
          <t>SELECT 'City'        AS dimension, city        AS member,</t>
        </is>
      </c>
    </row>
    <row r="453">
      <c r="A453" s="37" t="inlineStr">
        <is>
          <t xml:space="preserve">       COUNT(*) AS orders, ROUND(SUM(total_cost),2) AS revenue,</t>
        </is>
      </c>
    </row>
    <row r="454">
      <c r="A454" s="37" t="inlineStr">
        <is>
          <t xml:space="preserve">       ROUND(AVG(total_cost),2) AS aov, ROUND(AVG(customer_rating),2) AS rating</t>
        </is>
      </c>
    </row>
    <row r="455">
      <c r="A455" s="37" t="inlineStr">
        <is>
          <t>FROM vw_order_detail GROUP BY city</t>
        </is>
      </c>
    </row>
    <row r="456">
      <c r="A456" s="37" t="inlineStr">
        <is>
          <t>UNION ALL</t>
        </is>
      </c>
    </row>
    <row r="457">
      <c r="A457" s="37" t="inlineStr">
        <is>
          <t>SELECT 'Area', area, COUNT(*), ROUND(SUM(total_cost),2),</t>
        </is>
      </c>
    </row>
    <row r="458">
      <c r="A458" s="37" t="inlineStr">
        <is>
          <t xml:space="preserve">       ROUND(AVG(total_cost),2), ROUND(AVG(customer_rating),2)</t>
        </is>
      </c>
    </row>
    <row r="459">
      <c r="A459" s="37" t="inlineStr">
        <is>
          <t>FROM vw_order_detail GROUP BY area</t>
        </is>
      </c>
    </row>
    <row r="460">
      <c r="A460" s="37" t="inlineStr">
        <is>
          <t>UNION ALL</t>
        </is>
      </c>
    </row>
    <row r="461">
      <c r="A461" s="37" t="inlineStr">
        <is>
          <t>SELECT 'Cuisine', cuisine, COUNT(*), ROUND(SUM(total_cost),2),</t>
        </is>
      </c>
    </row>
    <row r="462">
      <c r="A462" s="37" t="inlineStr">
        <is>
          <t xml:space="preserve">       ROUND(AVG(total_cost),2), ROUND(AVG(customer_rating),2)</t>
        </is>
      </c>
    </row>
    <row r="463">
      <c r="A463" s="37" t="inlineStr">
        <is>
          <t>FROM vw_order_detail GROUP BY cuisine</t>
        </is>
      </c>
    </row>
    <row r="464">
      <c r="A464" s="37" t="inlineStr">
        <is>
          <t>UNION ALL</t>
        </is>
      </c>
    </row>
    <row r="465">
      <c r="A465" s="37" t="inlineStr">
        <is>
          <t>SELECT 'Price range', price_range, COUNT(*), ROUND(SUM(total_cost),2),</t>
        </is>
      </c>
    </row>
    <row r="466">
      <c r="A466" s="37" t="inlineStr">
        <is>
          <t xml:space="preserve">       ROUND(AVG(total_cost),2), ROUND(AVG(customer_rating),2)</t>
        </is>
      </c>
    </row>
    <row r="467">
      <c r="A467" s="37" t="inlineStr">
        <is>
          <t>FROM vw_order_detail GROUP BY price_range</t>
        </is>
      </c>
    </row>
    <row r="468">
      <c r="A468" s="37" t="inlineStr">
        <is>
          <t>UNION ALL</t>
        </is>
      </c>
    </row>
    <row r="469">
      <c r="A469" s="37" t="inlineStr">
        <is>
          <t>SELECT 'Payment method', payment_method, COUNT(*), ROUND(SUM(total_cost),2),</t>
        </is>
      </c>
    </row>
    <row r="470">
      <c r="A470" s="37" t="inlineStr">
        <is>
          <t xml:space="preserve">       ROUND(AVG(total_cost),2), ROUND(AVG(customer_rating),2)</t>
        </is>
      </c>
    </row>
    <row r="471">
      <c r="A471" s="37" t="inlineStr">
        <is>
          <t>FROM vw_order_detail GROUP BY payment_method</t>
        </is>
      </c>
    </row>
    <row r="472">
      <c r="A472" s="37" t="inlineStr">
        <is>
          <t>UNION ALL</t>
        </is>
      </c>
    </row>
    <row r="473">
      <c r="A473" s="37" t="inlineStr">
        <is>
          <t>SELECT 'Delivery available', delivery_available, COUNT(*), ROUND(SUM(total_cost),2),</t>
        </is>
      </c>
    </row>
    <row r="474">
      <c r="A474" s="37" t="inlineStr">
        <is>
          <t xml:space="preserve">       ROUND(AVG(total_cost),2), ROUND(AVG(customer_rating),2)</t>
        </is>
      </c>
    </row>
    <row r="475">
      <c r="A475" s="37" t="inlineStr">
        <is>
          <t>FROM vw_order_detail GROUP BY delivery_available</t>
        </is>
      </c>
    </row>
    <row r="476">
      <c r="A476" s="37" t="inlineStr">
        <is>
          <t>ORDER BY dimension, revenue DESC;</t>
        </is>
      </c>
    </row>
  </sheetData>
  <mergeCells count="40">
    <mergeCell ref="A99:F99"/>
    <mergeCell ref="A448:F448"/>
    <mergeCell ref="A208:F208"/>
    <mergeCell ref="A66:F66"/>
    <mergeCell ref="A189:F189"/>
    <mergeCell ref="A136:F136"/>
    <mergeCell ref="A18:F18"/>
    <mergeCell ref="A409:F409"/>
    <mergeCell ref="A447:F447"/>
    <mergeCell ref="A2:F2"/>
    <mergeCell ref="A47:F47"/>
    <mergeCell ref="A160:F160"/>
    <mergeCell ref="A278:F278"/>
    <mergeCell ref="A116:F116"/>
    <mergeCell ref="A5:F5"/>
    <mergeCell ref="A312:F312"/>
    <mergeCell ref="A159:F159"/>
    <mergeCell ref="A311:F311"/>
    <mergeCell ref="A135:F135"/>
    <mergeCell ref="A17:F17"/>
    <mergeCell ref="A35:F35"/>
    <mergeCell ref="A4:F4"/>
    <mergeCell ref="A100:F100"/>
    <mergeCell ref="A371:F371"/>
    <mergeCell ref="A190:F190"/>
    <mergeCell ref="A115:F115"/>
    <mergeCell ref="A372:F372"/>
    <mergeCell ref="A258:F258"/>
    <mergeCell ref="A353:F353"/>
    <mergeCell ref="A34:F34"/>
    <mergeCell ref="A48:F48"/>
    <mergeCell ref="A338:F338"/>
    <mergeCell ref="A352:F352"/>
    <mergeCell ref="A279:F279"/>
    <mergeCell ref="A257:F257"/>
    <mergeCell ref="A207:F207"/>
    <mergeCell ref="A1:F1"/>
    <mergeCell ref="A339:F339"/>
    <mergeCell ref="A408:F408"/>
    <mergeCell ref="A65:F6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2026-10-22T15:11:36Z</dcterms:created>
  <dcterms:modified xmlns:dcterms="http://purl.org/dc/terms/" xmlns:xsi="http://www.w3.org/2001/XMLSchema-instance" xsi:type="dcterms:W3CDTF">2026-10-22T15:11:37Z</dcterms:modified>
</cp:coreProperties>
</file>